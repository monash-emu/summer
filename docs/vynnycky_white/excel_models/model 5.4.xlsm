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ml.chartshapes+xml"/>
  <Override PartName="/docProps/app.xml" ContentType="application/vnd.openxmlformats-officedocument.extended-propertie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60" yWindow="4170" windowWidth="18750" windowHeight="4245"/>
  </bookViews>
  <sheets>
    <sheet name="age-dept foi" sheetId="23" r:id="rId1"/>
  </sheets>
  <definedNames>
    <definedName name="foi_g15">'age-dept foi'!$D$15</definedName>
    <definedName name="foi_u15">'age-dept foi'!$D$14</definedName>
    <definedName name="prop_sus15">'age-dept foi'!$D$16</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hs1" localSheetId="0" hidden="1">'age-dept foi'!$D$14</definedName>
    <definedName name="solver_lhs10" localSheetId="0" hidden="1">'age-dept foi'!$D$14</definedName>
    <definedName name="solver_lhs11" localSheetId="0" hidden="1">'age-dept foi'!$D$15</definedName>
    <definedName name="solver_lhs12" localSheetId="0" hidden="1">'age-dept foi'!$D$15</definedName>
    <definedName name="solver_lhs13" localSheetId="0" hidden="1">'age-dept foi'!$D$14</definedName>
    <definedName name="solver_lhs14" localSheetId="0" hidden="1">'age-dept foi'!$D$14</definedName>
    <definedName name="solver_lhs15" localSheetId="0" hidden="1">'age-dept foi'!$D$15</definedName>
    <definedName name="solver_lhs16" localSheetId="0" hidden="1">'age-dept foi'!$D$15</definedName>
    <definedName name="solver_lhs17" localSheetId="0" hidden="1">'age-dept foi'!$D$14</definedName>
    <definedName name="solver_lhs18" localSheetId="0" hidden="1">'age-dept foi'!$D$14</definedName>
    <definedName name="solver_lhs19" localSheetId="0" hidden="1">'age-dept foi'!$D$15</definedName>
    <definedName name="solver_lhs2" localSheetId="0" hidden="1">'age-dept foi'!$D$14</definedName>
    <definedName name="solver_lhs20" localSheetId="0" hidden="1">'age-dept foi'!$D$15</definedName>
    <definedName name="solver_lhs21" localSheetId="0" hidden="1">'age-dept foi'!$D$14</definedName>
    <definedName name="solver_lhs22" localSheetId="0" hidden="1">'age-dept foi'!$D$14</definedName>
    <definedName name="solver_lhs23" localSheetId="0" hidden="1">'age-dept foi'!$D$15</definedName>
    <definedName name="solver_lhs24" localSheetId="0" hidden="1">'age-dept foi'!$D$15</definedName>
    <definedName name="solver_lhs25" localSheetId="0" hidden="1">'age-dept foi'!$D$14</definedName>
    <definedName name="solver_lhs26" localSheetId="0" hidden="1">'age-dept foi'!$D$14</definedName>
    <definedName name="solver_lhs27" localSheetId="0" hidden="1">'age-dept foi'!$D$15</definedName>
    <definedName name="solver_lhs28" localSheetId="0" hidden="1">'age-dept foi'!$D$15</definedName>
    <definedName name="solver_lhs29" localSheetId="0" hidden="1">'age-dept foi'!$D$14</definedName>
    <definedName name="solver_lhs3" localSheetId="0" hidden="1">'age-dept foi'!$D$15</definedName>
    <definedName name="solver_lhs30" localSheetId="0" hidden="1">'age-dept foi'!$D$14</definedName>
    <definedName name="solver_lhs31" localSheetId="0" hidden="1">'age-dept foi'!$D$15</definedName>
    <definedName name="solver_lhs32" localSheetId="0" hidden="1">'age-dept foi'!$D$15</definedName>
    <definedName name="solver_lhs33" localSheetId="0" hidden="1">'age-dept foi'!$D$14</definedName>
    <definedName name="solver_lhs34" localSheetId="0" hidden="1">'age-dept foi'!$D$14</definedName>
    <definedName name="solver_lhs35" localSheetId="0" hidden="1">'age-dept foi'!$D$15</definedName>
    <definedName name="solver_lhs36" localSheetId="0" hidden="1">'age-dept foi'!$D$15</definedName>
    <definedName name="solver_lhs37" localSheetId="0" hidden="1">'age-dept foi'!$D$14</definedName>
    <definedName name="solver_lhs38" localSheetId="0" hidden="1">'age-dept foi'!$D$14</definedName>
    <definedName name="solver_lhs39" localSheetId="0" hidden="1">'age-dept foi'!$D$15</definedName>
    <definedName name="solver_lhs4" localSheetId="0" hidden="1">'age-dept foi'!$D$15</definedName>
    <definedName name="solver_lhs40" localSheetId="0" hidden="1">'age-dept foi'!$D$15</definedName>
    <definedName name="solver_lhs41" localSheetId="0" hidden="1">'age-dept foi'!$D$14</definedName>
    <definedName name="solver_lhs42" localSheetId="0" hidden="1">'age-dept foi'!$D$14</definedName>
    <definedName name="solver_lhs43" localSheetId="0" hidden="1">'age-dept foi'!$D$15</definedName>
    <definedName name="solver_lhs44" localSheetId="0" hidden="1">'age-dept foi'!$D$15</definedName>
    <definedName name="solver_lhs45" localSheetId="0" hidden="1">'age-dept foi'!$D$14</definedName>
    <definedName name="solver_lhs46" localSheetId="0" hidden="1">'age-dept foi'!$D$14</definedName>
    <definedName name="solver_lhs47" localSheetId="0" hidden="1">'age-dept foi'!$D$15</definedName>
    <definedName name="solver_lhs48" localSheetId="0" hidden="1">'age-dept foi'!$D$15</definedName>
    <definedName name="solver_lhs5" localSheetId="0" hidden="1">'age-dept foi'!$D$14</definedName>
    <definedName name="solver_lhs6" localSheetId="0" hidden="1">'age-dept foi'!$D$14</definedName>
    <definedName name="solver_lhs7" localSheetId="0" hidden="1">'age-dept foi'!$D$15</definedName>
    <definedName name="solver_lhs8" localSheetId="0" hidden="1">'age-dept foi'!$D$15</definedName>
    <definedName name="solver_lhs9" localSheetId="0" hidden="1">'age-dept foi'!$D$14</definedName>
    <definedName name="solver_lin" localSheetId="0" hidden="1">2</definedName>
    <definedName name="solver_neg" localSheetId="0" hidden="1">2</definedName>
    <definedName name="solver_num" localSheetId="0" hidden="1">0</definedName>
    <definedName name="solver_nwt" localSheetId="0" hidden="1">1</definedName>
    <definedName name="solver_pre" localSheetId="0" hidden="1">0.000001</definedName>
    <definedName name="solver_rel1" localSheetId="0" hidden="1">3</definedName>
    <definedName name="solver_rel10" localSheetId="0" hidden="1">3</definedName>
    <definedName name="solver_rel11" localSheetId="0" hidden="1">3</definedName>
    <definedName name="solver_rel12" localSheetId="0" hidden="1">3</definedName>
    <definedName name="solver_rel13" localSheetId="0" hidden="1">3</definedName>
    <definedName name="solver_rel14" localSheetId="0" hidden="1">3</definedName>
    <definedName name="solver_rel15" localSheetId="0" hidden="1">3</definedName>
    <definedName name="solver_rel16" localSheetId="0" hidden="1">3</definedName>
    <definedName name="solver_rel17" localSheetId="0" hidden="1">3</definedName>
    <definedName name="solver_rel18" localSheetId="0" hidden="1">3</definedName>
    <definedName name="solver_rel19" localSheetId="0" hidden="1">3</definedName>
    <definedName name="solver_rel2" localSheetId="0" hidden="1">3</definedName>
    <definedName name="solver_rel20" localSheetId="0" hidden="1">3</definedName>
    <definedName name="solver_rel21" localSheetId="0" hidden="1">3</definedName>
    <definedName name="solver_rel22" localSheetId="0" hidden="1">3</definedName>
    <definedName name="solver_rel23" localSheetId="0" hidden="1">3</definedName>
    <definedName name="solver_rel24" localSheetId="0" hidden="1">3</definedName>
    <definedName name="solver_rel25" localSheetId="0" hidden="1">3</definedName>
    <definedName name="solver_rel26" localSheetId="0" hidden="1">3</definedName>
    <definedName name="solver_rel27" localSheetId="0" hidden="1">3</definedName>
    <definedName name="solver_rel28" localSheetId="0" hidden="1">3</definedName>
    <definedName name="solver_rel29" localSheetId="0" hidden="1">3</definedName>
    <definedName name="solver_rel3" localSheetId="0" hidden="1">3</definedName>
    <definedName name="solver_rel30" localSheetId="0" hidden="1">3</definedName>
    <definedName name="solver_rel31" localSheetId="0" hidden="1">3</definedName>
    <definedName name="solver_rel32" localSheetId="0" hidden="1">3</definedName>
    <definedName name="solver_rel33" localSheetId="0" hidden="1">3</definedName>
    <definedName name="solver_rel34" localSheetId="0" hidden="1">3</definedName>
    <definedName name="solver_rel35" localSheetId="0" hidden="1">3</definedName>
    <definedName name="solver_rel36" localSheetId="0" hidden="1">3</definedName>
    <definedName name="solver_rel37" localSheetId="0" hidden="1">3</definedName>
    <definedName name="solver_rel38" localSheetId="0" hidden="1">3</definedName>
    <definedName name="solver_rel39" localSheetId="0" hidden="1">3</definedName>
    <definedName name="solver_rel4" localSheetId="0" hidden="1">3</definedName>
    <definedName name="solver_rel40" localSheetId="0" hidden="1">3</definedName>
    <definedName name="solver_rel41" localSheetId="0" hidden="1">3</definedName>
    <definedName name="solver_rel42" localSheetId="0" hidden="1">3</definedName>
    <definedName name="solver_rel43" localSheetId="0" hidden="1">3</definedName>
    <definedName name="solver_rel44" localSheetId="0" hidden="1">3</definedName>
    <definedName name="solver_rel45" localSheetId="0" hidden="1">3</definedName>
    <definedName name="solver_rel46" localSheetId="0" hidden="1">3</definedName>
    <definedName name="solver_rel47" localSheetId="0" hidden="1">3</definedName>
    <definedName name="solver_rel48" localSheetId="0" hidden="1">3</definedName>
    <definedName name="solver_rel5" localSheetId="0" hidden="1">3</definedName>
    <definedName name="solver_rel6" localSheetId="0" hidden="1">3</definedName>
    <definedName name="solver_rel7" localSheetId="0" hidden="1">3</definedName>
    <definedName name="solver_rel8" localSheetId="0" hidden="1">3</definedName>
    <definedName name="solver_rel9" localSheetId="0" hidden="1">3</definedName>
    <definedName name="solver_rhs1" localSheetId="0" hidden="1">0</definedName>
    <definedName name="solver_rhs10" localSheetId="0" hidden="1">0</definedName>
    <definedName name="solver_rhs11" localSheetId="0" hidden="1">0</definedName>
    <definedName name="solver_rhs12" localSheetId="0" hidden="1">0</definedName>
    <definedName name="solver_rhs13" localSheetId="0" hidden="1">0</definedName>
    <definedName name="solver_rhs14" localSheetId="0" hidden="1">0</definedName>
    <definedName name="solver_rhs15" localSheetId="0" hidden="1">0</definedName>
    <definedName name="solver_rhs16" localSheetId="0" hidden="1">0</definedName>
    <definedName name="solver_rhs17" localSheetId="0" hidden="1">0</definedName>
    <definedName name="solver_rhs18" localSheetId="0" hidden="1">0</definedName>
    <definedName name="solver_rhs19" localSheetId="0" hidden="1">0</definedName>
    <definedName name="solver_rhs2" localSheetId="0" hidden="1">0</definedName>
    <definedName name="solver_rhs20" localSheetId="0" hidden="1">0</definedName>
    <definedName name="solver_rhs21" localSheetId="0" hidden="1">0</definedName>
    <definedName name="solver_rhs22" localSheetId="0" hidden="1">0</definedName>
    <definedName name="solver_rhs23" localSheetId="0" hidden="1">0</definedName>
    <definedName name="solver_rhs24" localSheetId="0" hidden="1">0</definedName>
    <definedName name="solver_rhs25" localSheetId="0" hidden="1">0</definedName>
    <definedName name="solver_rhs26" localSheetId="0" hidden="1">0</definedName>
    <definedName name="solver_rhs27" localSheetId="0" hidden="1">0</definedName>
    <definedName name="solver_rhs28" localSheetId="0" hidden="1">0</definedName>
    <definedName name="solver_rhs29" localSheetId="0" hidden="1">0</definedName>
    <definedName name="solver_rhs3" localSheetId="0" hidden="1">0</definedName>
    <definedName name="solver_rhs30" localSheetId="0" hidden="1">0</definedName>
    <definedName name="solver_rhs31" localSheetId="0" hidden="1">0</definedName>
    <definedName name="solver_rhs32" localSheetId="0" hidden="1">0</definedName>
    <definedName name="solver_rhs33" localSheetId="0" hidden="1">0</definedName>
    <definedName name="solver_rhs34" localSheetId="0" hidden="1">0</definedName>
    <definedName name="solver_rhs35" localSheetId="0" hidden="1">0</definedName>
    <definedName name="solver_rhs36" localSheetId="0" hidden="1">0</definedName>
    <definedName name="solver_rhs37" localSheetId="0" hidden="1">0</definedName>
    <definedName name="solver_rhs38" localSheetId="0" hidden="1">0</definedName>
    <definedName name="solver_rhs39" localSheetId="0" hidden="1">0</definedName>
    <definedName name="solver_rhs4" localSheetId="0" hidden="1">0</definedName>
    <definedName name="solver_rhs40" localSheetId="0" hidden="1">0</definedName>
    <definedName name="solver_rhs41" localSheetId="0" hidden="1">0</definedName>
    <definedName name="solver_rhs42" localSheetId="0" hidden="1">0</definedName>
    <definedName name="solver_rhs43" localSheetId="0" hidden="1">0</definedName>
    <definedName name="solver_rhs44" localSheetId="0" hidden="1">0</definedName>
    <definedName name="solver_rhs45" localSheetId="0" hidden="1">0</definedName>
    <definedName name="solver_rhs46" localSheetId="0" hidden="1">0</definedName>
    <definedName name="solver_rhs47" localSheetId="0" hidden="1">0</definedName>
    <definedName name="solver_rhs48" localSheetId="0" hidden="1">0</definedName>
    <definedName name="solver_rhs5" localSheetId="0" hidden="1">0</definedName>
    <definedName name="solver_rhs6" localSheetId="0" hidden="1">0</definedName>
    <definedName name="solver_rhs7" localSheetId="0" hidden="1">0</definedName>
    <definedName name="solver_rhs8" localSheetId="0" hidden="1">0</definedName>
    <definedName name="solver_rhs9" localSheetId="0" hidden="1">0</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1</definedName>
    <definedName name="solver_val" localSheetId="0" hidden="1">0</definedName>
  </definedNames>
  <calcPr calcId="125725"/>
</workbook>
</file>

<file path=xl/calcChain.xml><?xml version="1.0" encoding="utf-8"?>
<calcChain xmlns="http://schemas.openxmlformats.org/spreadsheetml/2006/main">
  <c r="D16" i="23"/>
  <c r="G35"/>
  <c r="F50"/>
  <c r="F49"/>
  <c r="F48"/>
  <c r="F47"/>
  <c r="F46"/>
  <c r="F45"/>
  <c r="F44"/>
  <c r="F43"/>
  <c r="F42"/>
  <c r="F41"/>
  <c r="F40"/>
  <c r="F39"/>
  <c r="F38"/>
  <c r="F37"/>
  <c r="F36"/>
  <c r="F78" l="1"/>
  <c r="F79"/>
  <c r="F54"/>
  <c r="F63"/>
  <c r="F58"/>
  <c r="F71"/>
  <c r="F52"/>
  <c r="F56"/>
  <c r="F60"/>
  <c r="F67"/>
  <c r="G67" s="1"/>
  <c r="I67" s="1"/>
  <c r="F75"/>
  <c r="F51"/>
  <c r="F53"/>
  <c r="F55"/>
  <c r="F57"/>
  <c r="F59"/>
  <c r="F61"/>
  <c r="F65"/>
  <c r="F69"/>
  <c r="F73"/>
  <c r="F77"/>
  <c r="F62"/>
  <c r="F64"/>
  <c r="F66"/>
  <c r="F68"/>
  <c r="F70"/>
  <c r="F72"/>
  <c r="F74"/>
  <c r="F76"/>
  <c r="B26"/>
  <c r="B25"/>
  <c r="D79"/>
  <c r="E79"/>
  <c r="H79"/>
  <c r="D78"/>
  <c r="E78"/>
  <c r="H78"/>
  <c r="D77"/>
  <c r="E77"/>
  <c r="H77"/>
  <c r="D76"/>
  <c r="E76"/>
  <c r="H76"/>
  <c r="D75"/>
  <c r="E75"/>
  <c r="H75"/>
  <c r="D74"/>
  <c r="E74"/>
  <c r="H74"/>
  <c r="D73"/>
  <c r="E73"/>
  <c r="H73"/>
  <c r="D72"/>
  <c r="E72"/>
  <c r="H72"/>
  <c r="D71"/>
  <c r="E71"/>
  <c r="H71"/>
  <c r="D70"/>
  <c r="E70"/>
  <c r="H70"/>
  <c r="D69"/>
  <c r="E69"/>
  <c r="H69"/>
  <c r="D68"/>
  <c r="E68"/>
  <c r="H68"/>
  <c r="D67"/>
  <c r="E67"/>
  <c r="H67"/>
  <c r="D66"/>
  <c r="E66"/>
  <c r="H66"/>
  <c r="D65"/>
  <c r="E65"/>
  <c r="H65"/>
  <c r="D64"/>
  <c r="E64"/>
  <c r="H64"/>
  <c r="D63"/>
  <c r="E63"/>
  <c r="H63"/>
  <c r="D62"/>
  <c r="E62"/>
  <c r="H62"/>
  <c r="D61"/>
  <c r="E61"/>
  <c r="H61"/>
  <c r="D60"/>
  <c r="E60"/>
  <c r="H60"/>
  <c r="D59"/>
  <c r="E59"/>
  <c r="H59"/>
  <c r="D58"/>
  <c r="E58"/>
  <c r="H58"/>
  <c r="D57"/>
  <c r="E57"/>
  <c r="H57"/>
  <c r="D56"/>
  <c r="E56"/>
  <c r="H56"/>
  <c r="D55"/>
  <c r="E55"/>
  <c r="H55"/>
  <c r="D54"/>
  <c r="E54"/>
  <c r="H54"/>
  <c r="D53"/>
  <c r="E53"/>
  <c r="H53"/>
  <c r="D52"/>
  <c r="E52"/>
  <c r="H52"/>
  <c r="D51"/>
  <c r="E51"/>
  <c r="H51"/>
  <c r="D50"/>
  <c r="E50"/>
  <c r="H50"/>
  <c r="D49"/>
  <c r="E49"/>
  <c r="H49"/>
  <c r="D48"/>
  <c r="E48"/>
  <c r="H48"/>
  <c r="D47"/>
  <c r="E47"/>
  <c r="H47"/>
  <c r="D46"/>
  <c r="E46"/>
  <c r="H46"/>
  <c r="D45"/>
  <c r="E45"/>
  <c r="H45"/>
  <c r="D44"/>
  <c r="E44"/>
  <c r="H44"/>
  <c r="D43"/>
  <c r="E43"/>
  <c r="H43"/>
  <c r="D42"/>
  <c r="E42"/>
  <c r="H42"/>
  <c r="D41"/>
  <c r="E41"/>
  <c r="H41"/>
  <c r="D40"/>
  <c r="E40"/>
  <c r="H40"/>
  <c r="D39"/>
  <c r="E39"/>
  <c r="H39"/>
  <c r="D38"/>
  <c r="E38"/>
  <c r="H38"/>
  <c r="D37"/>
  <c r="E37"/>
  <c r="H37"/>
  <c r="A37"/>
  <c r="A38"/>
  <c r="D36"/>
  <c r="E36"/>
  <c r="H36"/>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G53" l="1"/>
  <c r="I53" s="1"/>
  <c r="G52"/>
  <c r="I52" s="1"/>
  <c r="G51"/>
  <c r="I51" s="1"/>
  <c r="G50"/>
  <c r="I50" s="1"/>
  <c r="G49"/>
  <c r="I49" s="1"/>
  <c r="G48"/>
  <c r="I48" s="1"/>
  <c r="G47"/>
  <c r="I47" s="1"/>
  <c r="G46"/>
  <c r="I46" s="1"/>
  <c r="G45"/>
  <c r="I45" s="1"/>
  <c r="G44"/>
  <c r="I44" s="1"/>
  <c r="G43"/>
  <c r="I43" s="1"/>
  <c r="G42"/>
  <c r="I42" s="1"/>
  <c r="G41"/>
  <c r="I41" s="1"/>
  <c r="G40"/>
  <c r="I40" s="1"/>
  <c r="G39"/>
  <c r="I39" s="1"/>
  <c r="G36"/>
  <c r="I36" s="1"/>
  <c r="G69"/>
  <c r="I69" s="1"/>
  <c r="G68"/>
  <c r="I68" s="1"/>
  <c r="G77"/>
  <c r="I77" s="1"/>
  <c r="G76"/>
  <c r="I76" s="1"/>
  <c r="G75"/>
  <c r="I75" s="1"/>
  <c r="G61"/>
  <c r="I61" s="1"/>
  <c r="G60"/>
  <c r="I60" s="1"/>
  <c r="G59"/>
  <c r="I59" s="1"/>
  <c r="G78"/>
  <c r="I78" s="1"/>
  <c r="G73"/>
  <c r="I73" s="1"/>
  <c r="G72"/>
  <c r="I72" s="1"/>
  <c r="G71"/>
  <c r="I71" s="1"/>
  <c r="G65"/>
  <c r="I65" s="1"/>
  <c r="G64"/>
  <c r="I64" s="1"/>
  <c r="G63"/>
  <c r="I63" s="1"/>
  <c r="G57"/>
  <c r="I57" s="1"/>
  <c r="G56"/>
  <c r="I56" s="1"/>
  <c r="G55"/>
  <c r="I55" s="1"/>
  <c r="G79"/>
  <c r="I79" s="1"/>
  <c r="G74"/>
  <c r="I74" s="1"/>
  <c r="G70"/>
  <c r="I70" s="1"/>
  <c r="G66"/>
  <c r="I66" s="1"/>
  <c r="G62"/>
  <c r="I62" s="1"/>
  <c r="G58"/>
  <c r="I58" s="1"/>
  <c r="G54"/>
  <c r="I54" s="1"/>
  <c r="G38"/>
  <c r="I38" s="1"/>
  <c r="G37"/>
  <c r="I37" s="1"/>
  <c r="D18" l="1"/>
  <c r="D21" s="1"/>
</calcChain>
</file>

<file path=xl/comments1.xml><?xml version="1.0" encoding="utf-8"?>
<comments xmlns="http://schemas.openxmlformats.org/spreadsheetml/2006/main">
  <authors>
    <author>Emilia Vynnycky</author>
  </authors>
  <commentList>
    <comment ref="D14" authorId="0">
      <text>
        <r>
          <rPr>
            <b/>
            <sz val="9"/>
            <color indexed="15"/>
            <rFont val="Tahoma"/>
            <family val="2"/>
          </rPr>
          <t>Introduction to Infectious Disease Modelling (E Vynnycky and R White):</t>
        </r>
        <r>
          <rPr>
            <sz val="9"/>
            <color indexed="15"/>
            <rFont val="Tahoma"/>
            <family val="2"/>
          </rPr>
          <t xml:space="preserve">
</t>
        </r>
        <r>
          <rPr>
            <sz val="9"/>
            <color indexed="26"/>
            <rFont val="Tahoma"/>
            <family val="2"/>
          </rPr>
          <t xml:space="preserve">
This cell has been assigned the name foi_u15.  If any cell has an equation which uses this cell, the name “foi_u15”, rather than the location of the cell, can be used in that equation, (see, for example, the equation in cell F36).</t>
        </r>
      </text>
    </comment>
    <comment ref="D18" authorId="0">
      <text>
        <r>
          <rPr>
            <b/>
            <sz val="9"/>
            <color indexed="15"/>
            <rFont val="Tahoma"/>
            <family val="2"/>
          </rPr>
          <t>Introduction to Infectious Disease Modelling (E Vynnycky and R White):</t>
        </r>
        <r>
          <rPr>
            <sz val="9"/>
            <color indexed="9"/>
            <rFont val="Tahoma"/>
            <family val="2"/>
          </rPr>
          <t xml:space="preserve">
</t>
        </r>
        <r>
          <rPr>
            <sz val="10"/>
            <color indexed="9"/>
            <rFont val="Tahoma"/>
            <family val="2"/>
          </rPr>
          <t>This equation is the loglikelihood deviance, describing the goodness of fit of the model to the dataset.   It is calculated using expressions in columns H and I, which contain the contributions to the loglikelihood of the "perfect" ("saturated") model and the catalytic model.  See section 4.2.5 of the book for further details.</t>
        </r>
      </text>
    </comment>
    <comment ref="D21" authorId="0">
      <text>
        <r>
          <rPr>
            <b/>
            <sz val="9"/>
            <color indexed="15"/>
            <rFont val="Tahoma"/>
            <family val="2"/>
          </rPr>
          <t>Introduction to Infectious Disease Modelling (E Vynnycky and R White):</t>
        </r>
        <r>
          <rPr>
            <b/>
            <sz val="9"/>
            <color indexed="9"/>
            <rFont val="Tahoma"/>
            <family val="2"/>
          </rPr>
          <t xml:space="preserve">
</t>
        </r>
        <r>
          <rPr>
            <sz val="10"/>
            <color indexed="9"/>
            <rFont val="Tahoma"/>
            <family val="2"/>
          </rPr>
          <t xml:space="preserve">This cell is used in calculations of the 95% confidence intervals for the force of infection estimates.  The upper and lower 95% confidence limit for foi_u15 are taken as the values for the force of infection (in cell D14) which leads to a deviance which differs by 3.84 from the optimal deviance, when the value for foi_g15 is set at the best-fitting value.  
Click on the button in cell G23 to activate the macro; the code for the macro can be accessed through the Macro button, accessible through the view option in the toolbar.  </t>
        </r>
      </text>
    </comment>
    <comment ref="I22" authorId="0">
      <text>
        <r>
          <rPr>
            <b/>
            <sz val="9"/>
            <color indexed="15"/>
            <rFont val="Tahoma"/>
            <family val="2"/>
          </rPr>
          <t>Introduction to Infectious Disease Modelling (E Vynnycky and R White):</t>
        </r>
        <r>
          <rPr>
            <sz val="9"/>
            <color indexed="81"/>
            <rFont val="Tahoma"/>
            <family val="2"/>
          </rPr>
          <t xml:space="preserve">
</t>
        </r>
        <r>
          <rPr>
            <sz val="10"/>
            <color indexed="9"/>
            <rFont val="Tahoma"/>
            <family val="2"/>
          </rPr>
          <t xml:space="preserve">
This macro has been set up to point to specific locations in the spreadsheet where it expects to find the force of infection and the deviance.  Consequently the macro will not work if the cell locations are changed from their original settings. Click on the button below to activate the macro.  See the comment to cell D21 and the code for the macro (via the Macro button, accessible through the view option in the toolbar) for details of how the macro works.</t>
        </r>
      </text>
    </comment>
  </commentList>
</comments>
</file>

<file path=xl/sharedStrings.xml><?xml version="1.0" encoding="utf-8"?>
<sst xmlns="http://schemas.openxmlformats.org/spreadsheetml/2006/main" count="40" uniqueCount="38">
  <si>
    <t>Definition</t>
  </si>
  <si>
    <t>Value</t>
  </si>
  <si>
    <t>95% CI</t>
  </si>
  <si>
    <t>lower</t>
  </si>
  <si>
    <t>upper</t>
  </si>
  <si>
    <t>Optimal deviance</t>
  </si>
  <si>
    <t xml:space="preserve">Contribution to loglikelihood </t>
  </si>
  <si>
    <t>Age</t>
  </si>
  <si>
    <t>Number</t>
  </si>
  <si>
    <t>Proportion</t>
  </si>
  <si>
    <t>from data point to:</t>
  </si>
  <si>
    <t>(mid point)</t>
  </si>
  <si>
    <t>positive</t>
  </si>
  <si>
    <t>negative</t>
  </si>
  <si>
    <t xml:space="preserve">total </t>
  </si>
  <si>
    <t xml:space="preserve">saturated </t>
  </si>
  <si>
    <t xml:space="preserve">catalytic </t>
  </si>
  <si>
    <t>model</t>
  </si>
  <si>
    <t>Observed</t>
  </si>
  <si>
    <t>susceptible</t>
  </si>
  <si>
    <t xml:space="preserve"> antibodies in the UK (Farrington (1990))</t>
  </si>
  <si>
    <r>
      <t>Goodness of fit</t>
    </r>
    <r>
      <rPr>
        <sz val="10"/>
        <rFont val="Arial"/>
        <family val="2"/>
      </rPr>
      <t xml:space="preserve"> (loglikelihood deviance)</t>
    </r>
  </si>
  <si>
    <t>Best-fitting</t>
  </si>
  <si>
    <t>Summary of force of infection estimates:</t>
  </si>
  <si>
    <t>&lt;15 yr olds</t>
  </si>
  <si>
    <t>≥15 yr olds</t>
  </si>
  <si>
    <t>foi_u15</t>
  </si>
  <si>
    <t>foi_g15</t>
  </si>
  <si>
    <t>Annual force of infection among:</t>
  </si>
  <si>
    <t>Proportion susceptible by age 15 years</t>
  </si>
  <si>
    <t>prop_sus15</t>
  </si>
  <si>
    <t>Data on the proportion of individuals positive for rubella</t>
  </si>
  <si>
    <t>Model prediction of</t>
  </si>
  <si>
    <t>the proportion:</t>
  </si>
  <si>
    <t xml:space="preserve">(ever) </t>
  </si>
  <si>
    <t>infected</t>
  </si>
  <si>
    <t>Name used in spreadsheet</t>
  </si>
  <si>
    <t>Difference between the optimal deviance and the deviance resulting from the values for the force of infection in cells D14 and D15:</t>
  </si>
</sst>
</file>

<file path=xl/styles.xml><?xml version="1.0" encoding="utf-8"?>
<styleSheet xmlns="http://schemas.openxmlformats.org/spreadsheetml/2006/main">
  <fonts count="22">
    <font>
      <sz val="10"/>
      <name val="Arial"/>
    </font>
    <font>
      <b/>
      <sz val="10"/>
      <name val="Arial"/>
      <family val="2"/>
    </font>
    <font>
      <b/>
      <sz val="10"/>
      <color indexed="10"/>
      <name val="Arial"/>
      <family val="2"/>
    </font>
    <font>
      <sz val="10"/>
      <name val="Arial"/>
      <family val="2"/>
    </font>
    <font>
      <b/>
      <sz val="10"/>
      <color indexed="22"/>
      <name val="Arial"/>
      <family val="2"/>
    </font>
    <font>
      <sz val="10"/>
      <color indexed="22"/>
      <name val="Arial"/>
      <family val="2"/>
    </font>
    <font>
      <b/>
      <sz val="10"/>
      <color indexed="8"/>
      <name val="Arial"/>
      <family val="2"/>
    </font>
    <font>
      <sz val="10"/>
      <color indexed="8"/>
      <name val="Arial"/>
      <family val="2"/>
    </font>
    <font>
      <sz val="10"/>
      <color indexed="9"/>
      <name val="Arial"/>
      <family val="2"/>
    </font>
    <font>
      <b/>
      <sz val="10"/>
      <color indexed="9"/>
      <name val="Arial"/>
      <family val="2"/>
    </font>
    <font>
      <b/>
      <sz val="10"/>
      <color indexed="18"/>
      <name val="Arial"/>
      <family val="2"/>
    </font>
    <font>
      <sz val="10"/>
      <color indexed="18"/>
      <name val="Arial"/>
      <family val="2"/>
    </font>
    <font>
      <b/>
      <sz val="9"/>
      <color indexed="9"/>
      <name val="Tahoma"/>
      <family val="2"/>
    </font>
    <font>
      <sz val="9"/>
      <color indexed="9"/>
      <name val="Tahoma"/>
      <family val="2"/>
    </font>
    <font>
      <b/>
      <sz val="9"/>
      <color indexed="15"/>
      <name val="Tahoma"/>
      <family val="2"/>
    </font>
    <font>
      <sz val="10"/>
      <color indexed="9"/>
      <name val="Tahoma"/>
      <family val="2"/>
    </font>
    <font>
      <sz val="9"/>
      <color indexed="81"/>
      <name val="Tahoma"/>
      <family val="2"/>
    </font>
    <font>
      <sz val="9"/>
      <color indexed="15"/>
      <name val="Tahoma"/>
      <family val="2"/>
    </font>
    <font>
      <sz val="9"/>
      <color indexed="26"/>
      <name val="Tahoma"/>
      <family val="2"/>
    </font>
    <font>
      <sz val="10"/>
      <color theme="1"/>
      <name val="Arial"/>
      <family val="2"/>
    </font>
    <font>
      <b/>
      <sz val="10"/>
      <color theme="1"/>
      <name val="Arial"/>
      <family val="2"/>
    </font>
    <font>
      <b/>
      <sz val="10"/>
      <color rgb="FFFF0000"/>
      <name val="Arial"/>
      <family val="2"/>
    </font>
  </fonts>
  <fills count="9">
    <fill>
      <patternFill patternType="none"/>
    </fill>
    <fill>
      <patternFill patternType="gray125"/>
    </fill>
    <fill>
      <patternFill patternType="solid">
        <fgColor indexed="15"/>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00FF"/>
        <bgColor indexed="64"/>
      </patternFill>
    </fill>
    <fill>
      <patternFill patternType="solid">
        <fgColor rgb="FFC0C0C0"/>
        <bgColor indexed="64"/>
      </patternFill>
    </fill>
    <fill>
      <patternFill patternType="solid">
        <fgColor rgb="FF009999"/>
        <bgColor indexed="64"/>
      </patternFill>
    </fill>
  </fills>
  <borders count="11">
    <border>
      <left/>
      <right/>
      <top/>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style="medium">
        <color indexed="10"/>
      </left>
      <right/>
      <top/>
      <bottom style="medium">
        <color indexed="10"/>
      </bottom>
      <diagonal/>
    </border>
    <border>
      <left/>
      <right/>
      <top/>
      <bottom style="medium">
        <color indexed="10"/>
      </bottom>
      <diagonal/>
    </border>
    <border>
      <left/>
      <right style="medium">
        <color indexed="10"/>
      </right>
      <top/>
      <bottom style="medium">
        <color indexed="10"/>
      </bottom>
      <diagonal/>
    </border>
    <border>
      <left/>
      <right/>
      <top/>
      <bottom style="medium">
        <color indexed="64"/>
      </bottom>
      <diagonal/>
    </border>
    <border>
      <left/>
      <right/>
      <top style="medium">
        <color rgb="FFFF0000"/>
      </top>
      <bottom/>
      <diagonal/>
    </border>
    <border>
      <left/>
      <right style="medium">
        <color rgb="FFFF0000"/>
      </right>
      <top style="medium">
        <color rgb="FFFF0000"/>
      </top>
      <bottom/>
      <diagonal/>
    </border>
    <border>
      <left/>
      <right style="medium">
        <color rgb="FFFF0000"/>
      </right>
      <top/>
      <bottom/>
      <diagonal/>
    </border>
  </borders>
  <cellStyleXfs count="1">
    <xf numFmtId="0" fontId="0" fillId="0" borderId="0"/>
  </cellStyleXfs>
  <cellXfs count="63">
    <xf numFmtId="0" fontId="0" fillId="0" borderId="0" xfId="0"/>
    <xf numFmtId="0" fontId="0" fillId="0" borderId="0" xfId="0" applyFill="1"/>
    <xf numFmtId="0" fontId="0" fillId="2" borderId="0" xfId="0" applyFill="1"/>
    <xf numFmtId="0" fontId="1" fillId="2" borderId="0" xfId="0" applyFont="1" applyFill="1"/>
    <xf numFmtId="0" fontId="1" fillId="2" borderId="0" xfId="0" applyFont="1" applyFill="1" applyAlignment="1">
      <alignment horizontal="center"/>
    </xf>
    <xf numFmtId="0" fontId="2" fillId="2" borderId="0" xfId="0" applyFont="1" applyFill="1"/>
    <xf numFmtId="0" fontId="1" fillId="3" borderId="0" xfId="0" applyFont="1" applyFill="1"/>
    <xf numFmtId="0" fontId="0" fillId="3" borderId="0" xfId="0" applyFill="1"/>
    <xf numFmtId="0" fontId="2" fillId="3" borderId="0" xfId="0" applyFont="1" applyFill="1"/>
    <xf numFmtId="0" fontId="5" fillId="3" borderId="0" xfId="0" applyFont="1" applyFill="1"/>
    <xf numFmtId="0" fontId="6" fillId="3" borderId="1" xfId="0" applyFont="1" applyFill="1" applyBorder="1"/>
    <xf numFmtId="0" fontId="6" fillId="3" borderId="2" xfId="0" applyFont="1" applyFill="1" applyBorder="1"/>
    <xf numFmtId="0" fontId="6" fillId="3" borderId="3" xfId="0" applyFont="1" applyFill="1" applyBorder="1"/>
    <xf numFmtId="0" fontId="6" fillId="3" borderId="0" xfId="0" applyFont="1" applyFill="1" applyBorder="1"/>
    <xf numFmtId="0" fontId="6" fillId="3" borderId="4" xfId="0" applyFont="1" applyFill="1" applyBorder="1"/>
    <xf numFmtId="0" fontId="6" fillId="3" borderId="5" xfId="0" applyFont="1" applyFill="1" applyBorder="1"/>
    <xf numFmtId="0" fontId="7" fillId="3" borderId="0" xfId="0" applyFont="1" applyFill="1" applyBorder="1"/>
    <xf numFmtId="0" fontId="1" fillId="3" borderId="0" xfId="0" applyFont="1" applyFill="1" applyAlignment="1">
      <alignment horizontal="center"/>
    </xf>
    <xf numFmtId="0" fontId="1" fillId="4" borderId="0" xfId="0" applyFont="1" applyFill="1" applyAlignment="1">
      <alignment horizontal="center"/>
    </xf>
    <xf numFmtId="0" fontId="3" fillId="4" borderId="0" xfId="0" applyFont="1" applyFill="1" applyAlignment="1">
      <alignment horizontal="center"/>
    </xf>
    <xf numFmtId="0" fontId="0" fillId="4" borderId="0" xfId="0" applyFill="1"/>
    <xf numFmtId="0" fontId="6" fillId="3" borderId="2" xfId="0" applyFont="1" applyFill="1" applyBorder="1" applyAlignment="1">
      <alignment horizontal="center"/>
    </xf>
    <xf numFmtId="0" fontId="3" fillId="5" borderId="0" xfId="0" applyFont="1" applyFill="1"/>
    <xf numFmtId="0" fontId="3" fillId="5" borderId="0" xfId="0" applyFont="1" applyFill="1" applyAlignment="1">
      <alignment horizontal="center"/>
    </xf>
    <xf numFmtId="0" fontId="0" fillId="5" borderId="0" xfId="0" applyFill="1"/>
    <xf numFmtId="0" fontId="1" fillId="5" borderId="0" xfId="0" applyFont="1" applyFill="1"/>
    <xf numFmtId="0" fontId="9" fillId="0" borderId="0" xfId="0" applyFont="1" applyFill="1"/>
    <xf numFmtId="0" fontId="10" fillId="0" borderId="0" xfId="0" applyFont="1" applyFill="1"/>
    <xf numFmtId="0" fontId="8" fillId="0" borderId="0" xfId="0" applyFont="1" applyFill="1"/>
    <xf numFmtId="0" fontId="11" fillId="0" borderId="0" xfId="0" applyFont="1" applyFill="1"/>
    <xf numFmtId="0" fontId="4" fillId="5" borderId="0" xfId="0" applyFont="1" applyFill="1" applyBorder="1"/>
    <xf numFmtId="0" fontId="6" fillId="5" borderId="0" xfId="0" applyFont="1" applyFill="1"/>
    <xf numFmtId="0" fontId="6" fillId="5" borderId="0" xfId="0" applyFont="1" applyFill="1" applyBorder="1"/>
    <xf numFmtId="0" fontId="6" fillId="6" borderId="0" xfId="0" applyFont="1" applyFill="1" applyBorder="1"/>
    <xf numFmtId="0" fontId="1" fillId="6" borderId="0" xfId="0" applyFont="1" applyFill="1"/>
    <xf numFmtId="0" fontId="1" fillId="6" borderId="0" xfId="0" applyFont="1" applyFill="1" applyAlignment="1">
      <alignment horizontal="center"/>
    </xf>
    <xf numFmtId="0" fontId="1" fillId="6" borderId="0" xfId="0" quotePrefix="1" applyFont="1" applyFill="1"/>
    <xf numFmtId="0" fontId="3" fillId="2" borderId="0" xfId="0" applyFont="1" applyFill="1" applyAlignment="1">
      <alignment horizontal="center"/>
    </xf>
    <xf numFmtId="0" fontId="0" fillId="7" borderId="0" xfId="0" applyFill="1"/>
    <xf numFmtId="0" fontId="19" fillId="3" borderId="0" xfId="0" applyFont="1" applyFill="1"/>
    <xf numFmtId="0" fontId="1" fillId="5" borderId="0" xfId="0" applyFont="1" applyFill="1" applyAlignment="1">
      <alignment horizontal="center"/>
    </xf>
    <xf numFmtId="0" fontId="3" fillId="3" borderId="0" xfId="0" applyFont="1" applyFill="1"/>
    <xf numFmtId="0" fontId="20" fillId="3" borderId="0" xfId="0" applyFont="1" applyFill="1"/>
    <xf numFmtId="0" fontId="0" fillId="3" borderId="0" xfId="0" applyFill="1" applyBorder="1"/>
    <xf numFmtId="0" fontId="0" fillId="3" borderId="8" xfId="0" applyFill="1" applyBorder="1"/>
    <xf numFmtId="0" fontId="0" fillId="3" borderId="9" xfId="0" applyFill="1" applyBorder="1"/>
    <xf numFmtId="0" fontId="0" fillId="3" borderId="10" xfId="0" applyFill="1" applyBorder="1"/>
    <xf numFmtId="0" fontId="21" fillId="3" borderId="0" xfId="0" applyFont="1" applyFill="1"/>
    <xf numFmtId="0" fontId="3" fillId="2" borderId="0" xfId="0" applyFont="1" applyFill="1"/>
    <xf numFmtId="0" fontId="6" fillId="3" borderId="6" xfId="0" applyFont="1" applyFill="1" applyBorder="1"/>
    <xf numFmtId="0" fontId="1" fillId="7" borderId="0" xfId="0" applyFont="1" applyFill="1"/>
    <xf numFmtId="0" fontId="1" fillId="7" borderId="0" xfId="0" applyFont="1" applyFill="1" applyBorder="1"/>
    <xf numFmtId="0" fontId="6" fillId="0" borderId="0" xfId="0" applyFont="1" applyFill="1" applyBorder="1"/>
    <xf numFmtId="0" fontId="1" fillId="0" borderId="0" xfId="0" applyFont="1" applyFill="1"/>
    <xf numFmtId="0" fontId="1" fillId="0" borderId="0" xfId="0" applyFont="1" applyFill="1" applyBorder="1"/>
    <xf numFmtId="0" fontId="6" fillId="6" borderId="0" xfId="0" applyFont="1" applyFill="1" applyBorder="1" applyAlignment="1">
      <alignment horizontal="center"/>
    </xf>
    <xf numFmtId="0" fontId="3" fillId="2" borderId="0" xfId="0" applyFont="1" applyFill="1" applyAlignment="1">
      <alignment horizontal="left" indent="3"/>
    </xf>
    <xf numFmtId="0" fontId="0" fillId="8" borderId="0" xfId="0" applyFill="1"/>
    <xf numFmtId="0" fontId="6" fillId="3" borderId="2" xfId="0" applyFont="1" applyFill="1" applyBorder="1" applyAlignment="1">
      <alignment horizontal="center"/>
    </xf>
    <xf numFmtId="0" fontId="1" fillId="5" borderId="0" xfId="0" applyFont="1" applyFill="1" applyAlignment="1">
      <alignment horizontal="center"/>
    </xf>
    <xf numFmtId="0" fontId="6" fillId="6" borderId="0" xfId="0" applyFont="1" applyFill="1" applyBorder="1" applyAlignment="1">
      <alignment horizontal="center"/>
    </xf>
    <xf numFmtId="0" fontId="1" fillId="3" borderId="0" xfId="0" applyFont="1" applyFill="1" applyAlignment="1">
      <alignment horizontal="center"/>
    </xf>
    <xf numFmtId="0" fontId="1" fillId="5" borderId="7" xfId="0" applyFont="1" applyFill="1" applyBorder="1" applyAlignment="1">
      <alignment horizontal="center"/>
    </xf>
  </cellXfs>
  <cellStyles count="1">
    <cellStyle name="Normal" xfId="0" builtinId="0"/>
  </cellStyles>
  <dxfs count="0"/>
  <tableStyles count="0" defaultTableStyle="TableStyleMedium9" defaultPivotStyle="PivotStyleLight16"/>
  <colors>
    <mruColors>
      <color rgb="FF009999"/>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b="1" i="0" u="none" strike="noStrike" baseline="0">
                <a:solidFill>
                  <a:srgbClr val="000000"/>
                </a:solidFill>
                <a:latin typeface="Arial"/>
                <a:ea typeface="Arial"/>
                <a:cs typeface="Arial"/>
              </a:defRPr>
            </a:pPr>
            <a:r>
              <a:rPr lang="en-GB"/>
              <a:t>Comparison between the observed and expected proportion seropositive</a:t>
            </a:r>
          </a:p>
        </c:rich>
      </c:tx>
      <c:layout>
        <c:manualLayout>
          <c:xMode val="edge"/>
          <c:yMode val="edge"/>
          <c:x val="0.10421114027413279"/>
          <c:y val="2.5183406952179792E-2"/>
        </c:manualLayout>
      </c:layout>
      <c:spPr>
        <a:noFill/>
        <a:ln w="25400">
          <a:noFill/>
        </a:ln>
      </c:spPr>
    </c:title>
    <c:plotArea>
      <c:layout>
        <c:manualLayout>
          <c:layoutTarget val="inner"/>
          <c:xMode val="edge"/>
          <c:yMode val="edge"/>
          <c:x val="0.17585073604929821"/>
          <c:y val="0.18609248554536229"/>
          <c:w val="0.71558914667439288"/>
          <c:h val="0.65679184504196364"/>
        </c:manualLayout>
      </c:layout>
      <c:scatterChart>
        <c:scatterStyle val="lineMarker"/>
        <c:ser>
          <c:idx val="0"/>
          <c:order val="0"/>
          <c:tx>
            <c:v>Observed</c:v>
          </c:tx>
          <c:spPr>
            <a:ln w="28575">
              <a:noFill/>
            </a:ln>
          </c:spPr>
          <c:marker>
            <c:symbol val="triangle"/>
            <c:size val="5"/>
            <c:spPr>
              <a:noFill/>
              <a:ln>
                <a:solidFill>
                  <a:schemeClr val="tx1"/>
                </a:solidFill>
              </a:ln>
            </c:spPr>
          </c:marker>
          <c:xVal>
            <c:numRef>
              <c:f>'age-dept foi'!$A$35:$A$79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'age-dept foi'!$E$35:$E$79</c:f>
              <c:numCache>
                <c:formatCode>General</c:formatCode>
                <c:ptCount val="45"/>
                <c:pt idx="1">
                  <c:v>0.15048543689320387</c:v>
                </c:pt>
                <c:pt idx="2">
                  <c:v>0.20547945205479451</c:v>
                </c:pt>
                <c:pt idx="3">
                  <c:v>0.20238095238095238</c:v>
                </c:pt>
                <c:pt idx="4">
                  <c:v>0.30158730158730157</c:v>
                </c:pt>
                <c:pt idx="5">
                  <c:v>0.43378995433789952</c:v>
                </c:pt>
                <c:pt idx="6">
                  <c:v>0.53333333333333333</c:v>
                </c:pt>
                <c:pt idx="7">
                  <c:v>0.54878048780487809</c:v>
                </c:pt>
                <c:pt idx="8">
                  <c:v>0.66206896551724137</c:v>
                </c:pt>
                <c:pt idx="9">
                  <c:v>0.74444444444444446</c:v>
                </c:pt>
                <c:pt idx="10">
                  <c:v>0.6875</c:v>
                </c:pt>
                <c:pt idx="11">
                  <c:v>0.75</c:v>
                </c:pt>
                <c:pt idx="12">
                  <c:v>0.8258426966292135</c:v>
                </c:pt>
                <c:pt idx="13">
                  <c:v>0.77966101694915257</c:v>
                </c:pt>
                <c:pt idx="14">
                  <c:v>0.8545454545454545</c:v>
                </c:pt>
                <c:pt idx="15">
                  <c:v>0.79104477611940294</c:v>
                </c:pt>
                <c:pt idx="16">
                  <c:v>0.84482758620689657</c:v>
                </c:pt>
                <c:pt idx="17">
                  <c:v>0.90123456790123457</c:v>
                </c:pt>
                <c:pt idx="18">
                  <c:v>0.87341772151898733</c:v>
                </c:pt>
                <c:pt idx="19">
                  <c:v>0.87387387387387383</c:v>
                </c:pt>
                <c:pt idx="20">
                  <c:v>0.85526315789473684</c:v>
                </c:pt>
                <c:pt idx="21">
                  <c:v>0.90243902439024393</c:v>
                </c:pt>
                <c:pt idx="22">
                  <c:v>0.83168316831683164</c:v>
                </c:pt>
                <c:pt idx="23">
                  <c:v>0.93181818181818177</c:v>
                </c:pt>
                <c:pt idx="24">
                  <c:v>0.92941176470588238</c:v>
                </c:pt>
                <c:pt idx="25">
                  <c:v>0.95744680851063835</c:v>
                </c:pt>
                <c:pt idx="26">
                  <c:v>0.92307692307692313</c:v>
                </c:pt>
                <c:pt idx="27">
                  <c:v>0.9101123595505618</c:v>
                </c:pt>
                <c:pt idx="28">
                  <c:v>0.94736842105263153</c:v>
                </c:pt>
                <c:pt idx="29">
                  <c:v>0.89873417721518989</c:v>
                </c:pt>
                <c:pt idx="30">
                  <c:v>0.9107142857142857</c:v>
                </c:pt>
                <c:pt idx="31">
                  <c:v>0.86538461538461542</c:v>
                </c:pt>
                <c:pt idx="32">
                  <c:v>0.9375</c:v>
                </c:pt>
                <c:pt idx="33">
                  <c:v>0.94594594594594594</c:v>
                </c:pt>
                <c:pt idx="34">
                  <c:v>0.95121951219512191</c:v>
                </c:pt>
                <c:pt idx="35">
                  <c:v>0.9</c:v>
                </c:pt>
                <c:pt idx="36">
                  <c:v>0.97368421052631582</c:v>
                </c:pt>
                <c:pt idx="37">
                  <c:v>0.94871794871794868</c:v>
                </c:pt>
                <c:pt idx="38">
                  <c:v>0.90243902439024393</c:v>
                </c:pt>
                <c:pt idx="39">
                  <c:v>0.93333333333333335</c:v>
                </c:pt>
                <c:pt idx="40">
                  <c:v>0.96296296296296291</c:v>
                </c:pt>
                <c:pt idx="41">
                  <c:v>1</c:v>
                </c:pt>
                <c:pt idx="42">
                  <c:v>0.95454545454545459</c:v>
                </c:pt>
                <c:pt idx="43">
                  <c:v>0.94736842105263153</c:v>
                </c:pt>
                <c:pt idx="44">
                  <c:v>1</c:v>
                </c:pt>
              </c:numCache>
            </c:numRef>
          </c:yVal>
        </c:ser>
        <c:ser>
          <c:idx val="1"/>
          <c:order val="1"/>
          <c:tx>
            <c:v>Predicted proportion (ever) infected</c:v>
          </c:tx>
          <c:spPr>
            <a:ln w="25400">
              <a:solidFill>
                <a:srgbClr val="FF00FF"/>
              </a:solidFill>
              <a:prstDash val="solid"/>
            </a:ln>
          </c:spPr>
          <c:marker>
            <c:symbol val="none"/>
          </c:marker>
          <c:xVal>
            <c:numRef>
              <c:f>'age-dept foi'!$A$35:$A$79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'age-dept foi'!$G$35:$G$79</c:f>
              <c:numCache>
                <c:formatCode>General</c:formatCode>
                <c:ptCount val="45"/>
                <c:pt idx="0">
                  <c:v>0</c:v>
                </c:pt>
                <c:pt idx="1">
                  <c:v>7.2256513671447142E-2</c:v>
                </c:pt>
                <c:pt idx="2">
                  <c:v>0.20148378124062294</c:v>
                </c:pt>
                <c:pt idx="3">
                  <c:v>0.31271072120902776</c:v>
                </c:pt>
                <c:pt idx="4">
                  <c:v>0.40844463563318489</c:v>
                </c:pt>
                <c:pt idx="5">
                  <c:v>0.49084357939245082</c:v>
                </c:pt>
                <c:pt idx="6">
                  <c:v>0.56176500753505076</c:v>
                </c:pt>
                <c:pt idx="7">
                  <c:v>0.62280764643684305</c:v>
                </c:pt>
                <c:pt idx="8">
                  <c:v>0.67534753264165026</c:v>
                </c:pt>
                <c:pt idx="9">
                  <c:v>0.72056903177859266</c:v>
                </c:pt>
                <c:pt idx="10">
                  <c:v>0.75949153679165793</c:v>
                </c:pt>
                <c:pt idx="11">
                  <c:v>0.79299244731884733</c:v>
                </c:pt>
                <c:pt idx="12">
                  <c:v>0.82182694822710156</c:v>
                </c:pt>
                <c:pt idx="13">
                  <c:v>0.84664503315507156</c:v>
                </c:pt>
                <c:pt idx="14">
                  <c:v>0.86800615681216975</c:v>
                </c:pt>
                <c:pt idx="15">
                  <c:v>0.88639184632923618</c:v>
                </c:pt>
                <c:pt idx="16">
                  <c:v>0.89668781991689983</c:v>
                </c:pt>
                <c:pt idx="17">
                  <c:v>0.9007387484403544</c:v>
                </c:pt>
                <c:pt idx="18">
                  <c:v>0.90463083778445041</c:v>
                </c:pt>
                <c:pt idx="19">
                  <c:v>0.90837031612249519</c:v>
                </c:pt>
                <c:pt idx="20">
                  <c:v>0.9119631674176274</c:v>
                </c:pt>
                <c:pt idx="21">
                  <c:v>0.91541514099843524</c:v>
                </c:pt>
                <c:pt idx="22">
                  <c:v>0.91873176075910834</c:v>
                </c:pt>
                <c:pt idx="23">
                  <c:v>0.92191833399884682</c:v>
                </c:pt>
                <c:pt idx="24">
                  <c:v>0.92497995991467308</c:v>
                </c:pt>
                <c:pt idx="25">
                  <c:v>0.92792153776123387</c:v>
                </c:pt>
                <c:pt idx="26">
                  <c:v>0.93074777469065406</c:v>
                </c:pt>
                <c:pt idx="27">
                  <c:v>0.93346319328498317</c:v>
                </c:pt>
                <c:pt idx="28">
                  <c:v>0.93607213879329243</c:v>
                </c:pt>
                <c:pt idx="29">
                  <c:v>0.93857878608499989</c:v>
                </c:pt>
                <c:pt idx="30">
                  <c:v>0.94098714633055214</c:v>
                </c:pt>
                <c:pt idx="31">
                  <c:v>0.94330107342015312</c:v>
                </c:pt>
                <c:pt idx="32">
                  <c:v>0.9455242701308102</c:v>
                </c:pt>
                <c:pt idx="33">
                  <c:v>0.9476602940515676</c:v>
                </c:pt>
                <c:pt idx="34">
                  <c:v>0.94971256327640807</c:v>
                </c:pt>
                <c:pt idx="35">
                  <c:v>0.95168436187393224</c:v>
                </c:pt>
                <c:pt idx="36">
                  <c:v>0.95357884514256874</c:v>
                </c:pt>
                <c:pt idx="37">
                  <c:v>0.95539904465972547</c:v>
                </c:pt>
                <c:pt idx="38">
                  <c:v>0.95714787313295979</c:v>
                </c:pt>
                <c:pt idx="39">
                  <c:v>0.95882812906093229</c:v>
                </c:pt>
                <c:pt idx="40">
                  <c:v>0.96044250121160124</c:v>
                </c:pt>
                <c:pt idx="41">
                  <c:v>0.96199357292482568</c:v>
                </c:pt>
                <c:pt idx="42">
                  <c:v>0.96348382624625961</c:v>
                </c:pt>
                <c:pt idx="43">
                  <c:v>0.96491564589915502</c:v>
                </c:pt>
                <c:pt idx="44">
                  <c:v>0.96629132310042765</c:v>
                </c:pt>
              </c:numCache>
            </c:numRef>
          </c:yVal>
        </c:ser>
        <c:axId val="52648192"/>
        <c:axId val="55076352"/>
      </c:scatterChart>
      <c:valAx>
        <c:axId val="52648192"/>
        <c:scaling>
          <c:orientation val="minMax"/>
          <c:max val="50"/>
        </c:scaling>
        <c:axPos val="b"/>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5076352"/>
        <c:crosses val="autoZero"/>
        <c:crossBetween val="midCat"/>
        <c:majorUnit val="10"/>
        <c:minorUnit val="2"/>
      </c:valAx>
      <c:valAx>
        <c:axId val="55076352"/>
        <c:scaling>
          <c:orientation val="minMax"/>
          <c:max val="1"/>
        </c:scaling>
        <c:axPos val="l"/>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648192"/>
        <c:crosses val="autoZero"/>
        <c:crossBetween val="midCat"/>
      </c:valAx>
      <c:spPr>
        <a:noFill/>
        <a:ln w="25400">
          <a:noFill/>
        </a:ln>
      </c:spPr>
    </c:plotArea>
    <c:legend>
      <c:legendPos val="r"/>
      <c:layout>
        <c:manualLayout>
          <c:xMode val="edge"/>
          <c:yMode val="edge"/>
          <c:x val="0.49802380763010767"/>
          <c:y val="0.554777543051021"/>
          <c:w val="0.42908313228523232"/>
          <c:h val="0.18511843031816214"/>
        </c:manualLayout>
      </c:layout>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413808</xdr:colOff>
      <xdr:row>18</xdr:row>
      <xdr:rowOff>101601</xdr:rowOff>
    </xdr:from>
    <xdr:to>
      <xdr:col>18</xdr:col>
      <xdr:colOff>518583</xdr:colOff>
      <xdr:row>46</xdr:row>
      <xdr:rowOff>139700</xdr:rowOff>
    </xdr:to>
    <xdr:graphicFrame macro="">
      <xdr:nvGraphicFramePr>
        <xdr:cNvPr id="17618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9</xdr:col>
      <xdr:colOff>23283</xdr:colOff>
      <xdr:row>11</xdr:row>
      <xdr:rowOff>12700</xdr:rowOff>
    </xdr:to>
    <xdr:pic>
      <xdr:nvPicPr>
        <xdr:cNvPr id="2" name="Picture 47"/>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5918200" cy="1833033"/>
        </a:xfrm>
        <a:prstGeom prst="rect">
          <a:avLst/>
        </a:prstGeom>
        <a:noFill/>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0.51475</cdr:y>
    </cdr:from>
    <cdr:to>
      <cdr:x>0</cdr:x>
      <cdr:y>0.51934</cdr:y>
    </cdr:to>
    <cdr:sp macro="" textlink="">
      <cdr:nvSpPr>
        <cdr:cNvPr id="4097" name="Text Box 1"/>
        <cdr:cNvSpPr txBox="1">
          <a:spLocks xmlns:a="http://schemas.openxmlformats.org/drawingml/2006/main" noChangeArrowheads="1"/>
        </cdr:cNvSpPr>
      </cdr:nvSpPr>
      <cdr:spPr bwMode="auto">
        <a:xfrm xmlns:a="http://schemas.openxmlformats.org/drawingml/2006/main">
          <a:off x="10484" y="1220610"/>
          <a:ext cx="339477" cy="109396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vert="vert270" wrap="square" lIns="27432" tIns="22860" rIns="0" bIns="0" anchor="t" upright="1"/>
        <a:lstStyle xmlns:a="http://schemas.openxmlformats.org/drawingml/2006/main"/>
        <a:p xmlns:a="http://schemas.openxmlformats.org/drawingml/2006/main">
          <a:pPr algn="r" rtl="0">
            <a:defRPr sz="1000"/>
          </a:pPr>
          <a:r>
            <a:rPr lang="en-GB" sz="1400" b="1" i="0" strike="noStrike">
              <a:solidFill>
                <a:srgbClr val="000000"/>
              </a:solidFill>
              <a:latin typeface="Arial"/>
              <a:cs typeface="Arial"/>
            </a:rPr>
            <a:t>Proportion</a:t>
          </a:r>
        </a:p>
      </cdr:txBody>
    </cdr:sp>
  </cdr:relSizeAnchor>
  <cdr:relSizeAnchor xmlns:cdr="http://schemas.openxmlformats.org/drawingml/2006/chartDrawing">
    <cdr:from>
      <cdr:x>0.50582</cdr:x>
      <cdr:y>0.90124</cdr:y>
    </cdr:from>
    <cdr:to>
      <cdr:x>0.74378</cdr:x>
      <cdr:y>0.9828</cdr:y>
    </cdr:to>
    <cdr:sp macro="" textlink="">
      <cdr:nvSpPr>
        <cdr:cNvPr id="4098" name="Text Box 2"/>
        <cdr:cNvSpPr txBox="1">
          <a:spLocks xmlns:a="http://schemas.openxmlformats.org/drawingml/2006/main" noChangeArrowheads="1"/>
        </cdr:cNvSpPr>
      </cdr:nvSpPr>
      <cdr:spPr bwMode="auto">
        <a:xfrm xmlns:a="http://schemas.openxmlformats.org/drawingml/2006/main">
          <a:off x="2881124" y="2762250"/>
          <a:ext cx="1355383" cy="24996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400" b="1" i="0" strike="noStrike">
              <a:solidFill>
                <a:srgbClr val="000000"/>
              </a:solidFill>
              <a:latin typeface="Arial"/>
              <a:cs typeface="Arial"/>
            </a:rPr>
            <a:t>Age (yrs)</a:t>
          </a:r>
        </a:p>
      </cdr:txBody>
    </cdr:sp>
  </cdr:relSizeAnchor>
  <cdr:relSizeAnchor xmlns:cdr="http://schemas.openxmlformats.org/drawingml/2006/chartDrawing">
    <cdr:from>
      <cdr:x>0.04701</cdr:x>
      <cdr:y>0.32113</cdr:y>
    </cdr:from>
    <cdr:to>
      <cdr:x>0.10647</cdr:x>
      <cdr:y>0.71133</cdr:y>
    </cdr:to>
    <cdr:sp macro="" textlink="">
      <cdr:nvSpPr>
        <cdr:cNvPr id="4" name="Text Box 2"/>
        <cdr:cNvSpPr txBox="1">
          <a:spLocks xmlns:a="http://schemas.openxmlformats.org/drawingml/2006/main" noChangeArrowheads="1"/>
        </cdr:cNvSpPr>
      </cdr:nvSpPr>
      <cdr:spPr bwMode="auto">
        <a:xfrm xmlns:a="http://schemas.openxmlformats.org/drawingml/2006/main">
          <a:off x="267760" y="984250"/>
          <a:ext cx="338666" cy="119591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vert270" wrap="square" lIns="27432" tIns="2286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GB" sz="1400" b="1" i="0" strike="noStrike">
              <a:solidFill>
                <a:srgbClr val="000000"/>
              </a:solidFill>
              <a:latin typeface="Arial"/>
              <a:cs typeface="Arial"/>
            </a:rPr>
            <a:t>Proportion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12"/>
  <dimension ref="A1:AD121"/>
  <sheetViews>
    <sheetView tabSelected="1" zoomScale="90" zoomScaleNormal="90" workbookViewId="0">
      <selection activeCell="A20" sqref="A20"/>
    </sheetView>
  </sheetViews>
  <sheetFormatPr defaultRowHeight="12.75" outlineLevelRow="1" outlineLevelCol="1"/>
  <cols>
    <col min="1" max="1" width="14.42578125" customWidth="1"/>
    <col min="2" max="2" width="17.5703125" customWidth="1"/>
    <col min="3" max="3" width="12" customWidth="1"/>
    <col min="4" max="4" width="8.28515625" customWidth="1"/>
    <col min="5" max="5" width="13.28515625" customWidth="1"/>
    <col min="6" max="6" width="12" customWidth="1"/>
    <col min="7" max="7" width="10.5703125" customWidth="1"/>
    <col min="8" max="8" width="15" hidden="1" customWidth="1" outlineLevel="1"/>
    <col min="9" max="9" width="14.42578125" hidden="1" customWidth="1" outlineLevel="1"/>
    <col min="10" max="10" width="9.140625" collapsed="1"/>
    <col min="18" max="18" width="9.85546875" customWidth="1"/>
    <col min="19" max="28" width="9.140625" customWidth="1"/>
  </cols>
  <sheetData>
    <row r="1" spans="1:13" s="1" customFormat="1">
      <c r="A1" s="57"/>
      <c r="B1" s="57"/>
      <c r="C1" s="57"/>
      <c r="D1" s="57"/>
      <c r="E1" s="57"/>
      <c r="F1" s="57"/>
      <c r="G1" s="57"/>
      <c r="H1"/>
    </row>
    <row r="2" spans="1:13" s="1" customFormat="1">
      <c r="A2" s="57"/>
      <c r="B2" s="57"/>
      <c r="C2" s="57"/>
      <c r="D2" s="57"/>
      <c r="E2" s="57"/>
      <c r="F2" s="57"/>
      <c r="G2" s="57"/>
      <c r="H2"/>
    </row>
    <row r="3" spans="1:13" s="1" customFormat="1">
      <c r="A3" s="57"/>
      <c r="B3" s="57"/>
      <c r="C3" s="57"/>
      <c r="D3" s="57"/>
      <c r="E3" s="57"/>
      <c r="F3" s="57"/>
      <c r="G3" s="57"/>
      <c r="H3"/>
    </row>
    <row r="4" spans="1:13" s="1" customFormat="1">
      <c r="A4" s="57"/>
      <c r="B4" s="57"/>
      <c r="C4" s="57"/>
      <c r="D4" s="57"/>
      <c r="E4" s="57"/>
      <c r="F4" s="57"/>
      <c r="G4" s="57"/>
      <c r="H4"/>
    </row>
    <row r="5" spans="1:13" s="1" customFormat="1">
      <c r="A5" s="57"/>
      <c r="B5" s="57"/>
      <c r="C5" s="57"/>
      <c r="D5" s="57"/>
      <c r="E5" s="57"/>
      <c r="F5" s="57"/>
      <c r="G5" s="57"/>
      <c r="H5"/>
    </row>
    <row r="6" spans="1:13" s="1" customFormat="1">
      <c r="A6" s="57"/>
      <c r="B6" s="57"/>
      <c r="C6" s="57"/>
      <c r="D6" s="57"/>
      <c r="E6" s="57"/>
      <c r="F6" s="57"/>
      <c r="G6" s="57"/>
      <c r="H6"/>
    </row>
    <row r="7" spans="1:13" s="1" customFormat="1">
      <c r="A7" s="57"/>
      <c r="B7" s="57"/>
      <c r="C7" s="57"/>
      <c r="D7" s="57"/>
      <c r="E7" s="57"/>
      <c r="F7" s="57"/>
      <c r="G7" s="57"/>
      <c r="H7"/>
    </row>
    <row r="8" spans="1:13" s="1" customFormat="1">
      <c r="A8" s="57"/>
      <c r="B8" s="57"/>
      <c r="C8" s="57"/>
      <c r="D8" s="57"/>
      <c r="E8" s="57"/>
      <c r="F8" s="57"/>
      <c r="G8" s="57"/>
      <c r="H8"/>
    </row>
    <row r="9" spans="1:13" s="1" customFormat="1">
      <c r="A9" s="57"/>
      <c r="B9" s="57"/>
      <c r="C9" s="57"/>
      <c r="D9" s="57"/>
      <c r="E9" s="57"/>
      <c r="F9" s="57"/>
      <c r="G9" s="57"/>
      <c r="H9"/>
    </row>
    <row r="10" spans="1:13" s="1" customFormat="1">
      <c r="A10" s="57"/>
      <c r="B10" s="57"/>
      <c r="C10" s="57"/>
      <c r="D10" s="57"/>
      <c r="E10" s="57"/>
      <c r="F10" s="57"/>
      <c r="G10" s="57"/>
      <c r="H10"/>
    </row>
    <row r="11" spans="1:13" s="1" customFormat="1" ht="18" customHeight="1">
      <c r="A11" s="57"/>
      <c r="B11" s="57"/>
      <c r="C11" s="57"/>
      <c r="D11" s="57"/>
      <c r="E11" s="57"/>
      <c r="F11" s="57"/>
      <c r="G11" s="57"/>
    </row>
    <row r="12" spans="1:13" s="1" customFormat="1">
      <c r="A12" s="2"/>
      <c r="B12" s="2"/>
      <c r="C12" s="2"/>
      <c r="D12" s="2"/>
      <c r="E12" s="3"/>
      <c r="F12" s="3"/>
      <c r="G12" s="2"/>
    </row>
    <row r="13" spans="1:13" s="1" customFormat="1">
      <c r="A13" s="3" t="s">
        <v>0</v>
      </c>
      <c r="B13" s="3"/>
      <c r="C13" s="2"/>
      <c r="D13" s="4" t="s">
        <v>1</v>
      </c>
      <c r="E13" s="3" t="s">
        <v>36</v>
      </c>
      <c r="F13" s="3"/>
      <c r="G13" s="2"/>
    </row>
    <row r="14" spans="1:13" s="1" customFormat="1">
      <c r="A14" s="56" t="s">
        <v>28</v>
      </c>
      <c r="B14" s="48"/>
      <c r="C14" s="48" t="s">
        <v>24</v>
      </c>
      <c r="D14" s="5">
        <v>0.15</v>
      </c>
      <c r="E14" s="37" t="s">
        <v>26</v>
      </c>
      <c r="F14" s="37"/>
      <c r="G14" s="2"/>
      <c r="J14" s="52"/>
      <c r="K14" s="52"/>
      <c r="L14" s="52"/>
      <c r="M14" s="52"/>
    </row>
    <row r="15" spans="1:13" s="1" customFormat="1">
      <c r="A15" s="56"/>
      <c r="B15" s="48"/>
      <c r="C15" s="48" t="s">
        <v>25</v>
      </c>
      <c r="D15" s="5">
        <v>0.04</v>
      </c>
      <c r="E15" s="37" t="s">
        <v>27</v>
      </c>
      <c r="F15" s="37"/>
      <c r="G15" s="2"/>
      <c r="J15" s="52"/>
      <c r="K15" s="52"/>
      <c r="L15" s="52"/>
      <c r="M15" s="52"/>
    </row>
    <row r="16" spans="1:13" s="1" customFormat="1">
      <c r="A16" s="56" t="s">
        <v>29</v>
      </c>
      <c r="B16" s="48"/>
      <c r="C16" s="48"/>
      <c r="D16" s="5">
        <f>EXP(-15*foi_u15)</f>
        <v>0.10539922456186433</v>
      </c>
      <c r="E16" s="37" t="s">
        <v>30</v>
      </c>
      <c r="F16" s="37"/>
      <c r="G16" s="2"/>
      <c r="J16" s="53"/>
      <c r="K16" s="53"/>
      <c r="L16" s="53"/>
      <c r="M16" s="54"/>
    </row>
    <row r="17" spans="1:30" s="1" customFormat="1">
      <c r="A17" s="48"/>
      <c r="B17" s="2"/>
      <c r="C17" s="2"/>
      <c r="D17" s="2"/>
      <c r="E17" s="2"/>
      <c r="F17" s="2"/>
      <c r="G17" s="2"/>
    </row>
    <row r="18" spans="1:30" s="1" customFormat="1" hidden="1" outlineLevel="1">
      <c r="A18" s="6" t="s">
        <v>21</v>
      </c>
      <c r="B18" s="6"/>
      <c r="C18" s="7"/>
      <c r="D18" s="8">
        <f>2*(SUM(H37:H79)-SUM(I37:I79))</f>
        <v>76.50740581711716</v>
      </c>
      <c r="E18" s="7"/>
      <c r="F18" s="7"/>
      <c r="G18" s="7"/>
      <c r="H18" s="7"/>
      <c r="I18" s="7"/>
    </row>
    <row r="19" spans="1:30" s="1" customFormat="1" collapsed="1">
      <c r="A19" s="41"/>
      <c r="B19" s="7"/>
      <c r="C19" s="7"/>
      <c r="D19" s="7"/>
      <c r="E19" s="7"/>
      <c r="F19" s="7"/>
      <c r="G19" s="7"/>
      <c r="H19" s="7"/>
      <c r="I19" s="7"/>
    </row>
    <row r="20" spans="1:30" s="1" customFormat="1" hidden="1" outlineLevel="1">
      <c r="A20" s="42" t="s">
        <v>37</v>
      </c>
      <c r="B20" s="39"/>
      <c r="C20" s="39"/>
      <c r="D20" s="9"/>
      <c r="E20" s="7"/>
      <c r="F20" s="7"/>
      <c r="G20" s="7"/>
      <c r="H20" s="7"/>
      <c r="I20" s="7"/>
      <c r="R20" s="26"/>
      <c r="S20" s="27"/>
    </row>
    <row r="21" spans="1:30" s="1" customFormat="1" hidden="1" outlineLevel="1">
      <c r="A21" s="39"/>
      <c r="B21" s="39"/>
      <c r="C21" s="39"/>
      <c r="D21" s="47">
        <f>D18-$C$27</f>
        <v>76.50740581711716</v>
      </c>
      <c r="E21" s="7"/>
      <c r="F21" s="7"/>
      <c r="G21" s="7"/>
      <c r="H21" s="7"/>
      <c r="I21" s="7"/>
      <c r="K21" s="52"/>
      <c r="L21" s="52"/>
      <c r="M21" s="52"/>
      <c r="R21" s="26"/>
      <c r="S21" s="27"/>
    </row>
    <row r="22" spans="1:30" s="1" customFormat="1" ht="13.5" hidden="1" outlineLevel="1" thickBot="1">
      <c r="A22" s="38"/>
      <c r="B22" s="38"/>
      <c r="C22" s="38"/>
      <c r="D22" s="38"/>
      <c r="E22" s="38"/>
      <c r="F22" s="38"/>
      <c r="G22" s="38"/>
      <c r="H22" s="7"/>
      <c r="I22" s="7"/>
      <c r="K22" s="53"/>
      <c r="L22" s="53"/>
      <c r="M22" s="54"/>
      <c r="R22" s="28"/>
      <c r="S22" s="29"/>
    </row>
    <row r="23" spans="1:30" s="1" customFormat="1" hidden="1" outlineLevel="1">
      <c r="A23" s="10" t="s">
        <v>23</v>
      </c>
      <c r="B23" s="11"/>
      <c r="C23" s="11"/>
      <c r="D23" s="58" t="s">
        <v>2</v>
      </c>
      <c r="E23" s="58"/>
      <c r="F23" s="21"/>
      <c r="G23" s="11"/>
      <c r="H23" s="44"/>
      <c r="I23" s="45"/>
      <c r="S23" s="29"/>
    </row>
    <row r="24" spans="1:30" s="1" customFormat="1" hidden="1" outlineLevel="1">
      <c r="A24" s="12"/>
      <c r="B24" s="13"/>
      <c r="C24" s="13" t="s">
        <v>22</v>
      </c>
      <c r="D24" s="13" t="s">
        <v>3</v>
      </c>
      <c r="E24" s="13" t="s">
        <v>4</v>
      </c>
      <c r="F24" s="13"/>
      <c r="G24" s="13"/>
      <c r="H24" s="43"/>
      <c r="I24" s="46"/>
      <c r="R24" s="28"/>
      <c r="S24" s="29"/>
      <c r="T24" s="29"/>
    </row>
    <row r="25" spans="1:30" s="1" customFormat="1" hidden="1" outlineLevel="1">
      <c r="A25" s="12"/>
      <c r="B25" s="13" t="str">
        <f>E14</f>
        <v>foi_u15</v>
      </c>
      <c r="C25" s="13"/>
      <c r="D25" s="13"/>
      <c r="E25" s="13"/>
      <c r="F25" s="13"/>
      <c r="G25" s="16"/>
      <c r="H25" s="43"/>
      <c r="I25" s="46"/>
      <c r="R25" s="28"/>
    </row>
    <row r="26" spans="1:30" s="1" customFormat="1" hidden="1" outlineLevel="1">
      <c r="A26" s="38"/>
      <c r="B26" s="50" t="str">
        <f>E15</f>
        <v>foi_g15</v>
      </c>
      <c r="C26" s="50"/>
      <c r="D26" s="50"/>
      <c r="E26" s="51"/>
      <c r="F26" s="13"/>
      <c r="G26" s="16"/>
      <c r="H26" s="43"/>
      <c r="I26" s="46"/>
      <c r="R26" s="28"/>
      <c r="S26" s="29"/>
    </row>
    <row r="27" spans="1:30" s="1" customFormat="1" ht="13.5" hidden="1" outlineLevel="1" thickBot="1">
      <c r="A27" s="14" t="s">
        <v>5</v>
      </c>
      <c r="B27" s="15"/>
      <c r="C27" s="15"/>
      <c r="D27" s="15"/>
      <c r="E27" s="15"/>
      <c r="F27" s="15"/>
      <c r="G27" s="15"/>
      <c r="H27" s="15"/>
      <c r="I27" s="49"/>
      <c r="R27" s="28"/>
      <c r="S27" s="29"/>
    </row>
    <row r="28" spans="1:30" s="1" customFormat="1" hidden="1" outlineLevel="1">
      <c r="A28" s="13"/>
      <c r="B28" s="13"/>
      <c r="C28" s="13"/>
      <c r="D28" s="13"/>
      <c r="E28" s="13"/>
      <c r="F28" s="13"/>
      <c r="G28" s="16"/>
      <c r="H28" s="7"/>
      <c r="I28" s="7"/>
      <c r="R28" s="28"/>
      <c r="S28" s="29"/>
    </row>
    <row r="29" spans="1:30" s="1" customFormat="1" collapsed="1">
      <c r="A29" s="25" t="s">
        <v>31</v>
      </c>
      <c r="B29" s="30"/>
      <c r="C29" s="30"/>
      <c r="D29" s="31"/>
      <c r="E29" s="32"/>
      <c r="F29" s="33"/>
      <c r="G29" s="33"/>
      <c r="H29" s="7"/>
      <c r="I29" s="7"/>
      <c r="R29" s="28"/>
      <c r="S29" s="29"/>
    </row>
    <row r="30" spans="1:30" s="1" customFormat="1">
      <c r="A30" s="25" t="s">
        <v>20</v>
      </c>
      <c r="B30" s="24"/>
      <c r="C30" s="24"/>
      <c r="D30" s="24"/>
      <c r="E30" s="24"/>
      <c r="F30" s="60" t="s">
        <v>32</v>
      </c>
      <c r="G30" s="60"/>
      <c r="H30" s="7"/>
      <c r="I30" s="7"/>
      <c r="R30" s="28"/>
      <c r="S30" s="29"/>
    </row>
    <row r="31" spans="1:30" s="1" customFormat="1">
      <c r="A31" s="22"/>
      <c r="B31" s="59" t="s">
        <v>18</v>
      </c>
      <c r="C31" s="59"/>
      <c r="D31" s="59"/>
      <c r="E31" s="22"/>
      <c r="F31" s="60" t="s">
        <v>33</v>
      </c>
      <c r="G31" s="60"/>
      <c r="H31" s="61" t="s">
        <v>6</v>
      </c>
      <c r="I31" s="61"/>
      <c r="R31" s="28"/>
      <c r="S31" s="29"/>
    </row>
    <row r="32" spans="1:30" ht="13.5" thickBot="1">
      <c r="A32" s="40" t="s">
        <v>7</v>
      </c>
      <c r="B32" s="62" t="s">
        <v>8</v>
      </c>
      <c r="C32" s="62"/>
      <c r="D32" s="62"/>
      <c r="E32" s="40" t="s">
        <v>9</v>
      </c>
      <c r="F32" s="35"/>
      <c r="G32" s="55" t="s">
        <v>34</v>
      </c>
      <c r="H32" s="61" t="s">
        <v>10</v>
      </c>
      <c r="I32" s="61"/>
      <c r="R32" s="28"/>
      <c r="S32" s="29"/>
      <c r="T32" s="1"/>
      <c r="U32" s="1"/>
      <c r="V32" s="1"/>
      <c r="W32" s="1"/>
      <c r="X32" s="1"/>
      <c r="Y32" s="1"/>
      <c r="Z32" s="1"/>
      <c r="AA32" s="1"/>
      <c r="AB32" s="1"/>
      <c r="AC32" s="1"/>
      <c r="AD32" s="1"/>
    </row>
    <row r="33" spans="1:30">
      <c r="A33" s="40" t="s">
        <v>11</v>
      </c>
      <c r="B33" s="23" t="s">
        <v>12</v>
      </c>
      <c r="C33" s="23" t="s">
        <v>13</v>
      </c>
      <c r="D33" s="23" t="s">
        <v>14</v>
      </c>
      <c r="E33" s="40" t="s">
        <v>12</v>
      </c>
      <c r="F33" s="35" t="s">
        <v>19</v>
      </c>
      <c r="G33" s="35" t="s">
        <v>35</v>
      </c>
      <c r="H33" s="17" t="s">
        <v>15</v>
      </c>
      <c r="I33" s="17" t="s">
        <v>16</v>
      </c>
      <c r="R33" s="28"/>
      <c r="S33" s="29"/>
      <c r="T33" s="1"/>
      <c r="U33" s="1"/>
      <c r="V33" s="1"/>
      <c r="W33" s="1"/>
      <c r="X33" s="1"/>
      <c r="Y33" s="1"/>
      <c r="Z33" s="1"/>
      <c r="AA33" s="1"/>
      <c r="AB33" s="1"/>
      <c r="AC33" s="1"/>
      <c r="AD33" s="1"/>
    </row>
    <row r="34" spans="1:30">
      <c r="A34" s="18"/>
      <c r="B34" s="19"/>
      <c r="C34" s="19"/>
      <c r="D34" s="19"/>
      <c r="E34" s="18"/>
      <c r="F34" s="35"/>
      <c r="G34" s="35"/>
      <c r="H34" s="17" t="s">
        <v>17</v>
      </c>
      <c r="I34" s="17" t="s">
        <v>17</v>
      </c>
      <c r="R34" s="28"/>
      <c r="S34" s="29"/>
      <c r="T34" s="1"/>
      <c r="U34" s="1"/>
      <c r="V34" s="1"/>
      <c r="W34" s="1"/>
      <c r="X34" s="1"/>
      <c r="Y34" s="1"/>
      <c r="Z34" s="1"/>
      <c r="AA34" s="1"/>
      <c r="AB34" s="1"/>
      <c r="AC34" s="1"/>
      <c r="AD34" s="1"/>
    </row>
    <row r="35" spans="1:30">
      <c r="A35" s="20">
        <v>0</v>
      </c>
      <c r="B35" s="20"/>
      <c r="C35" s="20"/>
      <c r="D35" s="20"/>
      <c r="E35" s="20"/>
      <c r="F35" s="34">
        <v>1</v>
      </c>
      <c r="G35" s="36">
        <f t="shared" ref="G35:G79" si="0">1-F35</f>
        <v>0</v>
      </c>
      <c r="H35" s="7"/>
      <c r="I35" s="7"/>
      <c r="R35" s="28"/>
      <c r="S35" s="29"/>
      <c r="T35" s="1"/>
      <c r="U35" s="1"/>
      <c r="V35" s="1"/>
      <c r="W35" s="1"/>
      <c r="X35" s="1"/>
      <c r="Y35" s="1"/>
      <c r="Z35" s="1"/>
      <c r="AA35" s="1"/>
      <c r="AB35" s="1"/>
      <c r="AC35" s="1"/>
      <c r="AD35" s="1"/>
    </row>
    <row r="36" spans="1:30">
      <c r="A36" s="20">
        <v>0.5</v>
      </c>
      <c r="B36" s="20">
        <v>31</v>
      </c>
      <c r="C36" s="20">
        <v>175</v>
      </c>
      <c r="D36" s="20">
        <f>SUM(B36:C36)</f>
        <v>206</v>
      </c>
      <c r="E36" s="20">
        <f>B36/D36</f>
        <v>0.15048543689320387</v>
      </c>
      <c r="F36" s="34">
        <f t="shared" ref="F36:F50" si="1">EXP(-foi_u15*A36)</f>
        <v>0.92774348632855286</v>
      </c>
      <c r="G36" s="36">
        <f t="shared" si="0"/>
        <v>7.2256513671447142E-2</v>
      </c>
      <c r="H36" s="6">
        <f t="shared" ref="H36:H79" si="2">IF(OR(E36=0,E36=1),0,B36*LN(E36)+C36*LN(1-E36))</f>
        <v>-87.251341994999194</v>
      </c>
      <c r="I36" s="6">
        <f t="shared" ref="I36:I79" si="3">IF(OR(G36=0,G36=1),0,B36*LN(G36)+C36*LN(1-G36))</f>
        <v>-94.578516844366391</v>
      </c>
      <c r="R36" s="28"/>
      <c r="S36" s="29"/>
      <c r="T36" s="1"/>
      <c r="U36" s="1"/>
      <c r="V36" s="1"/>
      <c r="W36" s="1"/>
      <c r="X36" s="1"/>
      <c r="Y36" s="1"/>
      <c r="Z36" s="1"/>
      <c r="AA36" s="1"/>
      <c r="AB36" s="1"/>
      <c r="AC36" s="1"/>
      <c r="AD36" s="1"/>
    </row>
    <row r="37" spans="1:30">
      <c r="A37" s="20">
        <f>A36+1</f>
        <v>1.5</v>
      </c>
      <c r="B37" s="20">
        <v>30</v>
      </c>
      <c r="C37" s="20">
        <v>116</v>
      </c>
      <c r="D37" s="20">
        <f t="shared" ref="D37:D79" si="4">SUM(B37:C37)</f>
        <v>146</v>
      </c>
      <c r="E37" s="20">
        <f t="shared" ref="E37:E79" si="5">B37/D37</f>
        <v>0.20547945205479451</v>
      </c>
      <c r="F37" s="34">
        <f t="shared" si="1"/>
        <v>0.79851621875937706</v>
      </c>
      <c r="G37" s="36">
        <f t="shared" si="0"/>
        <v>0.20148378124062294</v>
      </c>
      <c r="H37" s="6">
        <f t="shared" si="2"/>
        <v>-74.154183151214141</v>
      </c>
      <c r="I37" s="6">
        <f t="shared" si="3"/>
        <v>-74.161391728676421</v>
      </c>
      <c r="R37" s="28"/>
      <c r="S37" s="29"/>
      <c r="T37" s="1"/>
      <c r="U37" s="1"/>
      <c r="V37" s="1"/>
      <c r="W37" s="1"/>
      <c r="X37" s="1"/>
      <c r="Y37" s="1"/>
      <c r="Z37" s="1"/>
      <c r="AA37" s="1"/>
      <c r="AB37" s="1"/>
      <c r="AC37" s="1"/>
      <c r="AD37" s="1"/>
    </row>
    <row r="38" spans="1:30">
      <c r="A38" s="20">
        <f t="shared" ref="A38:A79" si="6">A37+1</f>
        <v>2.5</v>
      </c>
      <c r="B38" s="20">
        <v>34</v>
      </c>
      <c r="C38" s="20">
        <v>134</v>
      </c>
      <c r="D38" s="20">
        <f t="shared" si="4"/>
        <v>168</v>
      </c>
      <c r="E38" s="20">
        <f t="shared" si="5"/>
        <v>0.20238095238095238</v>
      </c>
      <c r="F38" s="34">
        <f t="shared" si="1"/>
        <v>0.68728927879097224</v>
      </c>
      <c r="G38" s="36">
        <f t="shared" si="0"/>
        <v>0.31271072120902776</v>
      </c>
      <c r="H38" s="6">
        <f t="shared" si="2"/>
        <v>-84.619157509375881</v>
      </c>
      <c r="I38" s="6">
        <f t="shared" si="3"/>
        <v>-89.774208792126586</v>
      </c>
      <c r="R38" s="28"/>
      <c r="S38" s="29"/>
      <c r="T38" s="1"/>
      <c r="U38" s="1"/>
      <c r="V38" s="1"/>
      <c r="W38" s="1"/>
      <c r="X38" s="1"/>
      <c r="Y38" s="1"/>
      <c r="Z38" s="1"/>
      <c r="AA38" s="1"/>
      <c r="AB38" s="1"/>
      <c r="AC38" s="1"/>
      <c r="AD38" s="1"/>
    </row>
    <row r="39" spans="1:30">
      <c r="A39" s="20">
        <f t="shared" si="6"/>
        <v>3.5</v>
      </c>
      <c r="B39" s="20">
        <v>57</v>
      </c>
      <c r="C39" s="20">
        <v>132</v>
      </c>
      <c r="D39" s="20">
        <f t="shared" si="4"/>
        <v>189</v>
      </c>
      <c r="E39" s="20">
        <f t="shared" si="5"/>
        <v>0.30158730158730157</v>
      </c>
      <c r="F39" s="34">
        <f t="shared" si="1"/>
        <v>0.59155536436681511</v>
      </c>
      <c r="G39" s="36">
        <f t="shared" si="0"/>
        <v>0.40844463563318489</v>
      </c>
      <c r="H39" s="6">
        <f t="shared" si="2"/>
        <v>-115.7064097983021</v>
      </c>
      <c r="I39" s="6">
        <f t="shared" si="3"/>
        <v>-120.33773757091734</v>
      </c>
      <c r="R39" s="28"/>
      <c r="S39" s="29"/>
      <c r="T39" s="1"/>
      <c r="U39" s="1"/>
      <c r="V39" s="1"/>
      <c r="W39" s="1"/>
      <c r="X39" s="1"/>
      <c r="Y39" s="1"/>
      <c r="Z39" s="1"/>
      <c r="AA39" s="1"/>
      <c r="AB39" s="1"/>
      <c r="AC39" s="1"/>
      <c r="AD39" s="1"/>
    </row>
    <row r="40" spans="1:30">
      <c r="A40" s="20">
        <f t="shared" si="6"/>
        <v>4.5</v>
      </c>
      <c r="B40" s="20">
        <v>95</v>
      </c>
      <c r="C40" s="20">
        <v>124</v>
      </c>
      <c r="D40" s="20">
        <f t="shared" si="4"/>
        <v>219</v>
      </c>
      <c r="E40" s="20">
        <f t="shared" si="5"/>
        <v>0.43378995433789952</v>
      </c>
      <c r="F40" s="34">
        <f t="shared" si="1"/>
        <v>0.50915642060754918</v>
      </c>
      <c r="G40" s="36">
        <f t="shared" si="0"/>
        <v>0.49084357939245082</v>
      </c>
      <c r="H40" s="6">
        <f t="shared" si="2"/>
        <v>-149.87348999273775</v>
      </c>
      <c r="I40" s="6">
        <f t="shared" si="3"/>
        <v>-151.30482886430991</v>
      </c>
      <c r="R40" s="28"/>
      <c r="S40" s="29"/>
      <c r="T40" s="1"/>
      <c r="U40" s="1"/>
      <c r="V40" s="1"/>
      <c r="W40" s="1"/>
      <c r="X40" s="1"/>
      <c r="Y40" s="1"/>
      <c r="Z40" s="1"/>
      <c r="AA40" s="1"/>
      <c r="AB40" s="1"/>
      <c r="AC40" s="1"/>
      <c r="AD40" s="1"/>
    </row>
    <row r="41" spans="1:30">
      <c r="A41" s="20">
        <f t="shared" si="6"/>
        <v>5.5</v>
      </c>
      <c r="B41" s="20">
        <v>104</v>
      </c>
      <c r="C41" s="20">
        <v>91</v>
      </c>
      <c r="D41" s="20">
        <f t="shared" si="4"/>
        <v>195</v>
      </c>
      <c r="E41" s="20">
        <f t="shared" si="5"/>
        <v>0.53333333333333333</v>
      </c>
      <c r="F41" s="34">
        <f t="shared" si="1"/>
        <v>0.43823499246494924</v>
      </c>
      <c r="G41" s="36">
        <f t="shared" si="0"/>
        <v>0.56176500753505076</v>
      </c>
      <c r="H41" s="6">
        <f t="shared" si="2"/>
        <v>-134.73004531619452</v>
      </c>
      <c r="I41" s="6">
        <f t="shared" si="3"/>
        <v>-135.04885186939458</v>
      </c>
      <c r="R41" s="28"/>
      <c r="S41" s="29"/>
      <c r="T41" s="1"/>
      <c r="U41" s="1"/>
      <c r="V41" s="1"/>
      <c r="W41" s="1"/>
      <c r="X41" s="1"/>
      <c r="Y41" s="1"/>
      <c r="Z41" s="1"/>
      <c r="AA41" s="1"/>
      <c r="AB41" s="1"/>
      <c r="AC41" s="1"/>
      <c r="AD41" s="1"/>
    </row>
    <row r="42" spans="1:30">
      <c r="A42" s="20">
        <f t="shared" si="6"/>
        <v>6.5</v>
      </c>
      <c r="B42" s="20">
        <v>90</v>
      </c>
      <c r="C42" s="20">
        <v>74</v>
      </c>
      <c r="D42" s="20">
        <f t="shared" si="4"/>
        <v>164</v>
      </c>
      <c r="E42" s="20">
        <f t="shared" si="5"/>
        <v>0.54878048780487809</v>
      </c>
      <c r="F42" s="34">
        <f t="shared" si="1"/>
        <v>0.37719235356315695</v>
      </c>
      <c r="G42" s="36">
        <f t="shared" si="0"/>
        <v>0.62280764643684305</v>
      </c>
      <c r="H42" s="6">
        <f t="shared" si="2"/>
        <v>-112.89440693633613</v>
      </c>
      <c r="I42" s="6">
        <f t="shared" si="3"/>
        <v>-114.76658054236715</v>
      </c>
      <c r="R42" s="28"/>
      <c r="S42" s="29"/>
      <c r="T42" s="1"/>
      <c r="U42" s="1"/>
      <c r="V42" s="1"/>
      <c r="W42" s="1"/>
      <c r="X42" s="1"/>
      <c r="Y42" s="1"/>
      <c r="Z42" s="1"/>
      <c r="AA42" s="1"/>
      <c r="AB42" s="1"/>
      <c r="AC42" s="1"/>
      <c r="AD42" s="1"/>
    </row>
    <row r="43" spans="1:30">
      <c r="A43" s="20">
        <f t="shared" si="6"/>
        <v>7.5</v>
      </c>
      <c r="B43" s="20">
        <v>96</v>
      </c>
      <c r="C43" s="20">
        <v>49</v>
      </c>
      <c r="D43" s="20">
        <f t="shared" si="4"/>
        <v>145</v>
      </c>
      <c r="E43" s="20">
        <f t="shared" si="5"/>
        <v>0.66206896551724137</v>
      </c>
      <c r="F43" s="34">
        <f t="shared" si="1"/>
        <v>0.32465246735834974</v>
      </c>
      <c r="G43" s="36">
        <f t="shared" si="0"/>
        <v>0.67534753264165026</v>
      </c>
      <c r="H43" s="6">
        <f t="shared" si="2"/>
        <v>-92.749771662650303</v>
      </c>
      <c r="I43" s="6">
        <f t="shared" si="3"/>
        <v>-92.807674313602462</v>
      </c>
      <c r="R43" s="28"/>
      <c r="S43" s="29"/>
      <c r="T43" s="1"/>
      <c r="U43" s="1"/>
      <c r="V43" s="1"/>
      <c r="W43" s="1"/>
      <c r="X43" s="1"/>
      <c r="Y43" s="1"/>
      <c r="Z43" s="1"/>
      <c r="AA43" s="1"/>
      <c r="AB43" s="1"/>
      <c r="AC43" s="1"/>
      <c r="AD43" s="1"/>
    </row>
    <row r="44" spans="1:30">
      <c r="A44" s="20">
        <f t="shared" si="6"/>
        <v>8.5</v>
      </c>
      <c r="B44" s="20">
        <v>134</v>
      </c>
      <c r="C44" s="20">
        <v>46</v>
      </c>
      <c r="D44" s="20">
        <f t="shared" si="4"/>
        <v>180</v>
      </c>
      <c r="E44" s="20">
        <f t="shared" si="5"/>
        <v>0.74444444444444446</v>
      </c>
      <c r="F44" s="34">
        <f t="shared" si="1"/>
        <v>0.27943096822140734</v>
      </c>
      <c r="G44" s="36">
        <f t="shared" si="0"/>
        <v>0.72056903177859266</v>
      </c>
      <c r="H44" s="6">
        <f t="shared" si="2"/>
        <v>-102.30419572831737</v>
      </c>
      <c r="I44" s="6">
        <f t="shared" si="3"/>
        <v>-102.56368366442997</v>
      </c>
      <c r="R44" s="28"/>
      <c r="S44" s="29"/>
      <c r="T44" s="1"/>
      <c r="U44" s="1"/>
      <c r="V44" s="1"/>
      <c r="W44" s="1"/>
      <c r="X44" s="1"/>
      <c r="Y44" s="1"/>
      <c r="Z44" s="1"/>
      <c r="AA44" s="1"/>
      <c r="AB44" s="1"/>
      <c r="AC44" s="1"/>
      <c r="AD44" s="1"/>
    </row>
    <row r="45" spans="1:30">
      <c r="A45" s="20">
        <f t="shared" si="6"/>
        <v>9.5</v>
      </c>
      <c r="B45" s="20">
        <v>110</v>
      </c>
      <c r="C45" s="20">
        <v>50</v>
      </c>
      <c r="D45" s="20">
        <f t="shared" si="4"/>
        <v>160</v>
      </c>
      <c r="E45" s="20">
        <f t="shared" si="5"/>
        <v>0.6875</v>
      </c>
      <c r="F45" s="34">
        <f t="shared" si="1"/>
        <v>0.24050846320834213</v>
      </c>
      <c r="G45" s="36">
        <f t="shared" si="0"/>
        <v>0.75949153679165793</v>
      </c>
      <c r="H45" s="6">
        <f t="shared" si="2"/>
        <v>-99.373819928839225</v>
      </c>
      <c r="I45" s="6">
        <f t="shared" si="3"/>
        <v>-101.51167101538377</v>
      </c>
      <c r="R45" s="28"/>
      <c r="S45" s="29"/>
      <c r="T45" s="1"/>
      <c r="U45" s="1"/>
      <c r="V45" s="1"/>
      <c r="W45" s="1"/>
      <c r="X45" s="1"/>
      <c r="Y45" s="1"/>
      <c r="Z45" s="1"/>
      <c r="AA45" s="1"/>
      <c r="AB45" s="1"/>
      <c r="AC45" s="1"/>
      <c r="AD45" s="1"/>
    </row>
    <row r="46" spans="1:30">
      <c r="A46" s="20">
        <f t="shared" si="6"/>
        <v>10.5</v>
      </c>
      <c r="B46" s="20">
        <v>111</v>
      </c>
      <c r="C46" s="20">
        <v>37</v>
      </c>
      <c r="D46" s="20">
        <f t="shared" si="4"/>
        <v>148</v>
      </c>
      <c r="E46" s="20">
        <f t="shared" si="5"/>
        <v>0.75</v>
      </c>
      <c r="F46" s="34">
        <f t="shared" si="1"/>
        <v>0.20700755268115265</v>
      </c>
      <c r="G46" s="36">
        <f t="shared" si="0"/>
        <v>0.79299244731884733</v>
      </c>
      <c r="H46" s="6">
        <f t="shared" si="2"/>
        <v>-83.225601403583624</v>
      </c>
      <c r="I46" s="6">
        <f t="shared" si="3"/>
        <v>-84.020515555461131</v>
      </c>
      <c r="R46" s="28"/>
      <c r="S46" s="29"/>
      <c r="T46" s="1"/>
      <c r="U46" s="1"/>
      <c r="V46" s="1"/>
      <c r="W46" s="1"/>
      <c r="X46" s="1"/>
      <c r="Y46" s="1"/>
      <c r="Z46" s="1"/>
      <c r="AA46" s="1"/>
      <c r="AB46" s="1"/>
      <c r="AC46" s="1"/>
      <c r="AD46" s="1"/>
    </row>
    <row r="47" spans="1:30">
      <c r="A47" s="20">
        <f t="shared" si="6"/>
        <v>11.5</v>
      </c>
      <c r="B47" s="20">
        <v>147</v>
      </c>
      <c r="C47" s="20">
        <v>31</v>
      </c>
      <c r="D47" s="20">
        <f t="shared" si="4"/>
        <v>178</v>
      </c>
      <c r="E47" s="20">
        <f t="shared" si="5"/>
        <v>0.8258426966292135</v>
      </c>
      <c r="F47" s="34">
        <f t="shared" si="1"/>
        <v>0.17817305177289844</v>
      </c>
      <c r="G47" s="36">
        <f t="shared" si="0"/>
        <v>0.82182694822710156</v>
      </c>
      <c r="H47" s="6">
        <f t="shared" si="2"/>
        <v>-82.310278356477383</v>
      </c>
      <c r="I47" s="6">
        <f t="shared" si="3"/>
        <v>-82.320138410019766</v>
      </c>
      <c r="R47" s="28"/>
      <c r="S47" s="29"/>
      <c r="T47" s="1"/>
      <c r="U47" s="1"/>
      <c r="V47" s="1"/>
      <c r="W47" s="1"/>
      <c r="X47" s="1"/>
      <c r="Y47" s="1"/>
      <c r="Z47" s="1"/>
      <c r="AA47" s="1"/>
      <c r="AB47" s="1"/>
      <c r="AC47" s="1"/>
      <c r="AD47" s="1"/>
    </row>
    <row r="48" spans="1:30">
      <c r="A48" s="20">
        <f t="shared" si="6"/>
        <v>12.5</v>
      </c>
      <c r="B48" s="20">
        <v>138</v>
      </c>
      <c r="C48" s="20">
        <v>39</v>
      </c>
      <c r="D48" s="20">
        <f t="shared" si="4"/>
        <v>177</v>
      </c>
      <c r="E48" s="20">
        <f t="shared" si="5"/>
        <v>0.77966101694915257</v>
      </c>
      <c r="F48" s="34">
        <f t="shared" si="1"/>
        <v>0.15335496684492847</v>
      </c>
      <c r="G48" s="36">
        <f t="shared" si="0"/>
        <v>0.84664503315507156</v>
      </c>
      <c r="H48" s="6">
        <f t="shared" si="2"/>
        <v>-93.338589914817305</v>
      </c>
      <c r="I48" s="6">
        <f t="shared" si="3"/>
        <v>-96.098378791094149</v>
      </c>
      <c r="R48" s="28"/>
      <c r="S48" s="29"/>
      <c r="T48" s="1"/>
      <c r="U48" s="1"/>
      <c r="V48" s="1"/>
      <c r="W48" s="1"/>
      <c r="X48" s="1"/>
      <c r="Y48" s="1"/>
      <c r="Z48" s="1"/>
      <c r="AA48" s="1"/>
      <c r="AB48" s="1"/>
      <c r="AC48" s="1"/>
      <c r="AD48" s="1"/>
    </row>
    <row r="49" spans="1:30">
      <c r="A49" s="20">
        <f t="shared" si="6"/>
        <v>13.5</v>
      </c>
      <c r="B49" s="20">
        <v>141</v>
      </c>
      <c r="C49" s="20">
        <v>24</v>
      </c>
      <c r="D49" s="20">
        <f t="shared" si="4"/>
        <v>165</v>
      </c>
      <c r="E49" s="20">
        <f t="shared" si="5"/>
        <v>0.8545454545454545</v>
      </c>
      <c r="F49" s="34">
        <f t="shared" si="1"/>
        <v>0.13199384318783022</v>
      </c>
      <c r="G49" s="36">
        <f t="shared" si="0"/>
        <v>0.86800615681216975</v>
      </c>
      <c r="H49" s="6">
        <f t="shared" si="2"/>
        <v>-68.432566721923379</v>
      </c>
      <c r="I49" s="6">
        <f t="shared" si="3"/>
        <v>-68.559462445596409</v>
      </c>
      <c r="R49" s="28"/>
      <c r="S49" s="29"/>
      <c r="T49" s="1"/>
      <c r="U49" s="1"/>
      <c r="V49" s="1"/>
      <c r="W49" s="1"/>
      <c r="X49" s="1"/>
      <c r="Y49" s="1"/>
      <c r="Z49" s="1"/>
      <c r="AA49" s="1"/>
      <c r="AB49" s="1"/>
      <c r="AC49" s="1"/>
      <c r="AD49" s="1"/>
    </row>
    <row r="50" spans="1:30">
      <c r="A50" s="20">
        <f t="shared" si="6"/>
        <v>14.5</v>
      </c>
      <c r="B50" s="20">
        <v>53</v>
      </c>
      <c r="C50" s="20">
        <v>14</v>
      </c>
      <c r="D50" s="20">
        <f t="shared" si="4"/>
        <v>67</v>
      </c>
      <c r="E50" s="20">
        <f t="shared" si="5"/>
        <v>0.79104477611940294</v>
      </c>
      <c r="F50" s="34">
        <f t="shared" si="1"/>
        <v>0.11360815367076377</v>
      </c>
      <c r="G50" s="36">
        <f t="shared" si="0"/>
        <v>0.88639184632923618</v>
      </c>
      <c r="H50" s="6">
        <f t="shared" si="2"/>
        <v>-34.342131466318648</v>
      </c>
      <c r="I50" s="6">
        <f t="shared" si="3"/>
        <v>-36.841596568362384</v>
      </c>
      <c r="R50" s="28"/>
      <c r="S50" s="29"/>
      <c r="T50" s="1"/>
      <c r="U50" s="1"/>
      <c r="V50" s="1"/>
      <c r="W50" s="1"/>
      <c r="X50" s="1"/>
      <c r="Y50" s="1"/>
      <c r="Z50" s="1"/>
      <c r="AA50" s="1"/>
      <c r="AB50" s="1"/>
      <c r="AC50" s="1"/>
      <c r="AD50" s="1"/>
    </row>
    <row r="51" spans="1:30">
      <c r="A51" s="20">
        <f t="shared" si="6"/>
        <v>15.5</v>
      </c>
      <c r="B51" s="20">
        <v>49</v>
      </c>
      <c r="C51" s="20">
        <v>9</v>
      </c>
      <c r="D51" s="20">
        <f t="shared" si="4"/>
        <v>58</v>
      </c>
      <c r="E51" s="20">
        <f t="shared" si="5"/>
        <v>0.84482758620689657</v>
      </c>
      <c r="F51" s="34">
        <f t="shared" ref="F51:F79" si="7">prop_sus15*EXP(-foi_g15*(A51-15))</f>
        <v>0.1033121800831002</v>
      </c>
      <c r="G51" s="36">
        <f t="shared" si="0"/>
        <v>0.89668781991689983</v>
      </c>
      <c r="H51" s="6">
        <f t="shared" si="2"/>
        <v>-25.031478808245645</v>
      </c>
      <c r="I51" s="6">
        <f t="shared" si="3"/>
        <v>-25.773327713014506</v>
      </c>
      <c r="R51" s="28"/>
      <c r="S51" s="29"/>
      <c r="T51" s="1"/>
      <c r="U51" s="1"/>
      <c r="V51" s="1"/>
      <c r="W51" s="1"/>
      <c r="X51" s="1"/>
      <c r="Y51" s="1"/>
      <c r="Z51" s="1"/>
      <c r="AA51" s="1"/>
      <c r="AB51" s="1"/>
      <c r="AC51" s="1"/>
      <c r="AD51" s="1"/>
    </row>
    <row r="52" spans="1:30">
      <c r="A52" s="20">
        <f t="shared" si="6"/>
        <v>16.5</v>
      </c>
      <c r="B52" s="20">
        <v>73</v>
      </c>
      <c r="C52" s="20">
        <v>8</v>
      </c>
      <c r="D52" s="20">
        <f t="shared" si="4"/>
        <v>81</v>
      </c>
      <c r="E52" s="20">
        <f t="shared" si="5"/>
        <v>0.90123456790123457</v>
      </c>
      <c r="F52" s="34">
        <f t="shared" si="7"/>
        <v>9.9261251559645658E-2</v>
      </c>
      <c r="G52" s="36">
        <f t="shared" si="0"/>
        <v>0.9007387484403544</v>
      </c>
      <c r="H52" s="6">
        <f t="shared" si="2"/>
        <v>-26.1113099911963</v>
      </c>
      <c r="I52" s="6">
        <f t="shared" si="3"/>
        <v>-26.111421515148216</v>
      </c>
      <c r="R52" s="28"/>
      <c r="S52" s="29"/>
      <c r="T52" s="1"/>
      <c r="U52" s="1"/>
      <c r="V52" s="1"/>
      <c r="W52" s="1"/>
      <c r="X52" s="1"/>
      <c r="Y52" s="1"/>
      <c r="Z52" s="1"/>
      <c r="AA52" s="1"/>
      <c r="AB52" s="1"/>
      <c r="AC52" s="1"/>
      <c r="AD52" s="1"/>
    </row>
    <row r="53" spans="1:30">
      <c r="A53" s="20">
        <f t="shared" si="6"/>
        <v>17.5</v>
      </c>
      <c r="B53" s="20">
        <v>69</v>
      </c>
      <c r="C53" s="20">
        <v>10</v>
      </c>
      <c r="D53" s="20">
        <f t="shared" si="4"/>
        <v>79</v>
      </c>
      <c r="E53" s="20">
        <f t="shared" si="5"/>
        <v>0.87341772151898733</v>
      </c>
      <c r="F53" s="34">
        <f t="shared" si="7"/>
        <v>9.5369162215549613E-2</v>
      </c>
      <c r="G53" s="36">
        <f t="shared" si="0"/>
        <v>0.90463083778445041</v>
      </c>
      <c r="H53" s="6">
        <f t="shared" si="2"/>
        <v>-30.007180597743343</v>
      </c>
      <c r="I53" s="6">
        <f t="shared" si="3"/>
        <v>-30.415754946095589</v>
      </c>
      <c r="R53" s="28"/>
      <c r="S53" s="29"/>
      <c r="T53" s="1"/>
      <c r="U53" s="1"/>
      <c r="V53" s="1"/>
      <c r="W53" s="1"/>
      <c r="X53" s="1"/>
      <c r="Y53" s="1"/>
      <c r="Z53" s="1"/>
      <c r="AA53" s="1"/>
      <c r="AB53" s="1"/>
      <c r="AC53" s="1"/>
      <c r="AD53" s="1"/>
    </row>
    <row r="54" spans="1:30">
      <c r="A54" s="20">
        <f t="shared" si="6"/>
        <v>18.5</v>
      </c>
      <c r="B54" s="20">
        <v>97</v>
      </c>
      <c r="C54" s="20">
        <v>14</v>
      </c>
      <c r="D54" s="20">
        <f t="shared" si="4"/>
        <v>111</v>
      </c>
      <c r="E54" s="20">
        <f t="shared" si="5"/>
        <v>0.87387387387387383</v>
      </c>
      <c r="F54" s="34">
        <f t="shared" si="7"/>
        <v>9.162968387750485E-2</v>
      </c>
      <c r="G54" s="36">
        <f t="shared" si="0"/>
        <v>0.90837031612249519</v>
      </c>
      <c r="H54" s="6">
        <f t="shared" si="2"/>
        <v>-42.064084816227336</v>
      </c>
      <c r="I54" s="6">
        <f t="shared" si="3"/>
        <v>-42.782005199295817</v>
      </c>
      <c r="R54" s="28"/>
      <c r="S54" s="29"/>
      <c r="T54" s="1"/>
      <c r="U54" s="1"/>
      <c r="V54" s="1"/>
      <c r="W54" s="1"/>
      <c r="X54" s="1"/>
      <c r="Y54" s="1"/>
      <c r="Z54" s="1"/>
      <c r="AA54" s="1"/>
      <c r="AB54" s="1"/>
      <c r="AC54" s="1"/>
      <c r="AD54" s="1"/>
    </row>
    <row r="55" spans="1:30">
      <c r="A55" s="20">
        <f t="shared" si="6"/>
        <v>19.5</v>
      </c>
      <c r="B55" s="20">
        <v>65</v>
      </c>
      <c r="C55" s="20">
        <v>11</v>
      </c>
      <c r="D55" s="20">
        <f t="shared" si="4"/>
        <v>76</v>
      </c>
      <c r="E55" s="20">
        <f t="shared" si="5"/>
        <v>0.85526315789473684</v>
      </c>
      <c r="F55" s="34">
        <f t="shared" si="7"/>
        <v>8.8036832582372548E-2</v>
      </c>
      <c r="G55" s="36">
        <f t="shared" si="0"/>
        <v>0.9119631674176274</v>
      </c>
      <c r="H55" s="6">
        <f t="shared" si="2"/>
        <v>-31.423713317762672</v>
      </c>
      <c r="I55" s="6">
        <f t="shared" si="3"/>
        <v>-32.720118961244935</v>
      </c>
      <c r="R55" s="28"/>
      <c r="S55" s="29"/>
      <c r="T55" s="1"/>
      <c r="U55" s="1"/>
      <c r="V55" s="1"/>
      <c r="W55" s="1"/>
      <c r="X55" s="1"/>
      <c r="Y55" s="1"/>
      <c r="Z55" s="1"/>
      <c r="AA55" s="1"/>
      <c r="AB55" s="1"/>
      <c r="AC55" s="1"/>
      <c r="AD55" s="1"/>
    </row>
    <row r="56" spans="1:30">
      <c r="A56" s="20">
        <f t="shared" si="6"/>
        <v>20.5</v>
      </c>
      <c r="B56" s="20">
        <v>74</v>
      </c>
      <c r="C56" s="20">
        <v>8</v>
      </c>
      <c r="D56" s="20">
        <f t="shared" si="4"/>
        <v>82</v>
      </c>
      <c r="E56" s="20">
        <f t="shared" si="5"/>
        <v>0.90243902439024393</v>
      </c>
      <c r="F56" s="34">
        <f t="shared" si="7"/>
        <v>8.4584859001564705E-2</v>
      </c>
      <c r="G56" s="36">
        <f t="shared" si="0"/>
        <v>0.91541514099843524</v>
      </c>
      <c r="H56" s="6">
        <f t="shared" si="2"/>
        <v>-26.214629045121509</v>
      </c>
      <c r="I56" s="6">
        <f t="shared" si="3"/>
        <v>-26.299943183722689</v>
      </c>
      <c r="R56" s="28"/>
      <c r="S56" s="29"/>
      <c r="T56" s="1"/>
      <c r="U56" s="1"/>
      <c r="V56" s="1"/>
      <c r="W56" s="1"/>
      <c r="X56" s="1"/>
      <c r="Y56" s="1"/>
      <c r="Z56" s="1"/>
      <c r="AA56" s="1"/>
      <c r="AB56" s="1"/>
      <c r="AC56" s="1"/>
      <c r="AD56" s="1"/>
    </row>
    <row r="57" spans="1:30">
      <c r="A57" s="20">
        <f t="shared" si="6"/>
        <v>21.5</v>
      </c>
      <c r="B57" s="20">
        <v>84</v>
      </c>
      <c r="C57" s="20">
        <v>17</v>
      </c>
      <c r="D57" s="20">
        <f t="shared" si="4"/>
        <v>101</v>
      </c>
      <c r="E57" s="20">
        <f t="shared" si="5"/>
        <v>0.83168316831683164</v>
      </c>
      <c r="F57" s="34">
        <f t="shared" si="7"/>
        <v>8.1268239240891688E-2</v>
      </c>
      <c r="G57" s="36">
        <f t="shared" si="0"/>
        <v>0.91873176075910834</v>
      </c>
      <c r="H57" s="6">
        <f t="shared" si="2"/>
        <v>-45.773934249173188</v>
      </c>
      <c r="I57" s="6">
        <f t="shared" si="3"/>
        <v>-49.789930794519172</v>
      </c>
      <c r="R57" s="28"/>
      <c r="S57" s="29"/>
      <c r="T57" s="1"/>
      <c r="U57" s="1"/>
      <c r="V57" s="1"/>
      <c r="W57" s="1"/>
      <c r="X57" s="1"/>
      <c r="Y57" s="1"/>
      <c r="Z57" s="1"/>
      <c r="AA57" s="1"/>
      <c r="AB57" s="1"/>
      <c r="AC57" s="1"/>
      <c r="AD57" s="1"/>
    </row>
    <row r="58" spans="1:30">
      <c r="A58" s="20">
        <f t="shared" si="6"/>
        <v>22.5</v>
      </c>
      <c r="B58" s="20">
        <v>82</v>
      </c>
      <c r="C58" s="20">
        <v>6</v>
      </c>
      <c r="D58" s="20">
        <f t="shared" si="4"/>
        <v>88</v>
      </c>
      <c r="E58" s="20">
        <f t="shared" si="5"/>
        <v>0.93181818181818177</v>
      </c>
      <c r="F58" s="34">
        <f t="shared" si="7"/>
        <v>7.8081666001153155E-2</v>
      </c>
      <c r="G58" s="36">
        <f t="shared" si="0"/>
        <v>0.92191833399884682</v>
      </c>
      <c r="H58" s="6">
        <f t="shared" si="2"/>
        <v>-21.904104583045083</v>
      </c>
      <c r="I58" s="6">
        <f t="shared" si="3"/>
        <v>-21.966488003341119</v>
      </c>
      <c r="R58" s="28"/>
      <c r="S58" s="29"/>
      <c r="T58" s="1"/>
      <c r="U58" s="1"/>
      <c r="V58" s="1"/>
      <c r="W58" s="1"/>
      <c r="X58" s="1"/>
      <c r="Y58" s="1"/>
      <c r="Z58" s="1"/>
      <c r="AA58" s="1"/>
      <c r="AB58" s="1"/>
      <c r="AC58" s="1"/>
      <c r="AD58" s="1"/>
    </row>
    <row r="59" spans="1:30">
      <c r="A59" s="20">
        <f t="shared" si="6"/>
        <v>23.5</v>
      </c>
      <c r="B59" s="20">
        <v>79</v>
      </c>
      <c r="C59" s="20">
        <v>6</v>
      </c>
      <c r="D59" s="20">
        <f t="shared" si="4"/>
        <v>85</v>
      </c>
      <c r="E59" s="20">
        <f t="shared" si="5"/>
        <v>0.92941176470588238</v>
      </c>
      <c r="F59" s="34">
        <f t="shared" si="7"/>
        <v>7.502004008532695E-2</v>
      </c>
      <c r="G59" s="36">
        <f t="shared" si="0"/>
        <v>0.92497995991467308</v>
      </c>
      <c r="H59" s="6">
        <f t="shared" si="2"/>
        <v>-21.688419641413869</v>
      </c>
      <c r="I59" s="6">
        <f t="shared" si="3"/>
        <v>-21.700673326259341</v>
      </c>
      <c r="R59" s="28"/>
      <c r="S59" s="29"/>
      <c r="T59" s="1"/>
      <c r="U59" s="1"/>
      <c r="V59" s="1"/>
      <c r="W59" s="1"/>
      <c r="X59" s="1"/>
      <c r="Y59" s="1"/>
      <c r="Z59" s="1"/>
      <c r="AA59" s="1"/>
      <c r="AB59" s="1"/>
      <c r="AC59" s="1"/>
      <c r="AD59" s="1"/>
    </row>
    <row r="60" spans="1:30">
      <c r="A60" s="20">
        <f t="shared" si="6"/>
        <v>24.5</v>
      </c>
      <c r="B60" s="20">
        <v>90</v>
      </c>
      <c r="C60" s="20">
        <v>4</v>
      </c>
      <c r="D60" s="20">
        <f t="shared" si="4"/>
        <v>94</v>
      </c>
      <c r="E60" s="20">
        <f t="shared" si="5"/>
        <v>0.95744680851063835</v>
      </c>
      <c r="F60" s="34">
        <f t="shared" si="7"/>
        <v>7.2078462238766086E-2</v>
      </c>
      <c r="G60" s="36">
        <f t="shared" si="0"/>
        <v>0.92792153776123387</v>
      </c>
      <c r="H60" s="6">
        <f t="shared" si="2"/>
        <v>-16.541661759176947</v>
      </c>
      <c r="I60" s="6">
        <f t="shared" si="3"/>
        <v>-17.252728963705799</v>
      </c>
      <c r="R60" s="28"/>
      <c r="S60" s="29"/>
      <c r="T60" s="1"/>
      <c r="U60" s="1"/>
      <c r="V60" s="1"/>
      <c r="W60" s="1"/>
      <c r="X60" s="1"/>
      <c r="Y60" s="1"/>
      <c r="Z60" s="1"/>
      <c r="AA60" s="1"/>
      <c r="AB60" s="1"/>
      <c r="AC60" s="1"/>
      <c r="AD60" s="1"/>
    </row>
    <row r="61" spans="1:30">
      <c r="A61" s="20">
        <f t="shared" si="6"/>
        <v>25.5</v>
      </c>
      <c r="B61" s="20">
        <v>84</v>
      </c>
      <c r="C61" s="20">
        <v>7</v>
      </c>
      <c r="D61" s="20">
        <f t="shared" si="4"/>
        <v>91</v>
      </c>
      <c r="E61" s="20">
        <f t="shared" si="5"/>
        <v>0.92307692307692313</v>
      </c>
      <c r="F61" s="34">
        <f t="shared" si="7"/>
        <v>6.925222530934598E-2</v>
      </c>
      <c r="G61" s="36">
        <f t="shared" si="0"/>
        <v>0.93074777469065406</v>
      </c>
      <c r="H61" s="6">
        <f t="shared" si="2"/>
        <v>-24.678232946807817</v>
      </c>
      <c r="I61" s="6">
        <f t="shared" si="3"/>
        <v>-24.718424397222375</v>
      </c>
      <c r="R61" s="28"/>
      <c r="S61" s="29"/>
      <c r="T61" s="1"/>
      <c r="U61" s="1"/>
      <c r="V61" s="1"/>
      <c r="W61" s="1"/>
      <c r="X61" s="1"/>
      <c r="Y61" s="1"/>
      <c r="Z61" s="1"/>
      <c r="AA61" s="1"/>
      <c r="AB61" s="1"/>
      <c r="AC61" s="1"/>
      <c r="AD61" s="1"/>
    </row>
    <row r="62" spans="1:30">
      <c r="A62" s="20">
        <f t="shared" si="6"/>
        <v>26.5</v>
      </c>
      <c r="B62" s="20">
        <v>81</v>
      </c>
      <c r="C62" s="20">
        <v>8</v>
      </c>
      <c r="D62" s="20">
        <f t="shared" si="4"/>
        <v>89</v>
      </c>
      <c r="E62" s="20">
        <f t="shared" si="5"/>
        <v>0.9101123595505618</v>
      </c>
      <c r="F62" s="34">
        <f t="shared" si="7"/>
        <v>6.6536806715016841E-2</v>
      </c>
      <c r="G62" s="36">
        <f t="shared" si="0"/>
        <v>0.93346319328498317</v>
      </c>
      <c r="H62" s="6">
        <f t="shared" si="2"/>
        <v>-26.902723044254216</v>
      </c>
      <c r="I62" s="6">
        <f t="shared" si="3"/>
        <v>-27.257153385737983</v>
      </c>
      <c r="R62" s="28"/>
      <c r="S62" s="29"/>
      <c r="T62" s="1"/>
      <c r="U62" s="1"/>
      <c r="V62" s="1"/>
      <c r="W62" s="1"/>
      <c r="X62" s="1"/>
      <c r="Y62" s="1"/>
      <c r="Z62" s="1"/>
      <c r="AA62" s="1"/>
      <c r="AB62" s="1"/>
      <c r="AC62" s="1"/>
      <c r="AD62" s="1"/>
    </row>
    <row r="63" spans="1:30">
      <c r="A63" s="20">
        <f t="shared" si="6"/>
        <v>27.5</v>
      </c>
      <c r="B63" s="20">
        <v>72</v>
      </c>
      <c r="C63" s="20">
        <v>4</v>
      </c>
      <c r="D63" s="20">
        <f t="shared" si="4"/>
        <v>76</v>
      </c>
      <c r="E63" s="20">
        <f t="shared" si="5"/>
        <v>0.94736842105263153</v>
      </c>
      <c r="F63" s="34">
        <f t="shared" si="7"/>
        <v>6.392786120670757E-2</v>
      </c>
      <c r="G63" s="36">
        <f t="shared" si="0"/>
        <v>0.93607213879329243</v>
      </c>
      <c r="H63" s="6">
        <f t="shared" si="2"/>
        <v>-15.670595848125616</v>
      </c>
      <c r="I63" s="6">
        <f t="shared" si="3"/>
        <v>-15.756516856210487</v>
      </c>
      <c r="R63" s="28"/>
      <c r="S63" s="29"/>
      <c r="T63" s="1"/>
      <c r="U63" s="1"/>
      <c r="V63" s="1"/>
      <c r="W63" s="1"/>
      <c r="X63" s="1"/>
      <c r="Y63" s="1"/>
      <c r="Z63" s="1"/>
      <c r="AA63" s="1"/>
      <c r="AB63" s="1"/>
      <c r="AC63" s="1"/>
      <c r="AD63" s="1"/>
    </row>
    <row r="64" spans="1:30">
      <c r="A64" s="20">
        <f t="shared" si="6"/>
        <v>28.5</v>
      </c>
      <c r="B64" s="20">
        <v>71</v>
      </c>
      <c r="C64" s="20">
        <v>8</v>
      </c>
      <c r="D64" s="20">
        <f t="shared" si="4"/>
        <v>79</v>
      </c>
      <c r="E64" s="20">
        <f t="shared" si="5"/>
        <v>0.89873417721518989</v>
      </c>
      <c r="F64" s="34">
        <f t="shared" si="7"/>
        <v>6.1421213915000127E-2</v>
      </c>
      <c r="G64" s="36">
        <f t="shared" si="0"/>
        <v>0.93857878608499989</v>
      </c>
      <c r="H64" s="6">
        <f t="shared" si="2"/>
        <v>-25.900576741522617</v>
      </c>
      <c r="I64" s="6">
        <f t="shared" si="3"/>
        <v>-26.820581904911442</v>
      </c>
      <c r="R64" s="28"/>
      <c r="S64" s="29"/>
      <c r="T64" s="1"/>
      <c r="U64" s="1"/>
      <c r="V64" s="1"/>
      <c r="W64" s="1"/>
      <c r="X64" s="1"/>
      <c r="Y64" s="1"/>
      <c r="Z64" s="1"/>
      <c r="AA64" s="1"/>
      <c r="AB64" s="1"/>
      <c r="AC64" s="1"/>
      <c r="AD64" s="1"/>
    </row>
    <row r="65" spans="1:30">
      <c r="A65" s="20">
        <f t="shared" si="6"/>
        <v>29.5</v>
      </c>
      <c r="B65" s="20">
        <v>51</v>
      </c>
      <c r="C65" s="20">
        <v>5</v>
      </c>
      <c r="D65" s="20">
        <f t="shared" si="4"/>
        <v>56</v>
      </c>
      <c r="E65" s="20">
        <f t="shared" si="5"/>
        <v>0.9107142857142857</v>
      </c>
      <c r="F65" s="34">
        <f t="shared" si="7"/>
        <v>5.9012853669447841E-2</v>
      </c>
      <c r="G65" s="36">
        <f t="shared" si="0"/>
        <v>0.94098714633055214</v>
      </c>
      <c r="H65" s="6">
        <f t="shared" si="2"/>
        <v>-16.84939785005724</v>
      </c>
      <c r="I65" s="6">
        <f t="shared" si="3"/>
        <v>-17.252115752825556</v>
      </c>
      <c r="R65" s="28"/>
      <c r="S65" s="29"/>
      <c r="T65" s="1"/>
      <c r="U65" s="1"/>
      <c r="V65" s="1"/>
      <c r="W65" s="1"/>
      <c r="X65" s="1"/>
      <c r="Y65" s="1"/>
      <c r="Z65" s="1"/>
      <c r="AA65" s="1"/>
      <c r="AB65" s="1"/>
      <c r="AC65" s="1"/>
      <c r="AD65" s="1"/>
    </row>
    <row r="66" spans="1:30">
      <c r="A66" s="20">
        <f t="shared" si="6"/>
        <v>30.5</v>
      </c>
      <c r="B66" s="20">
        <v>45</v>
      </c>
      <c r="C66" s="20">
        <v>7</v>
      </c>
      <c r="D66" s="20">
        <f t="shared" si="4"/>
        <v>52</v>
      </c>
      <c r="E66" s="20">
        <f t="shared" si="5"/>
        <v>0.86538461538461542</v>
      </c>
      <c r="F66" s="34">
        <f t="shared" si="7"/>
        <v>5.669892657984691E-2</v>
      </c>
      <c r="G66" s="36">
        <f t="shared" si="0"/>
        <v>0.94330107342015312</v>
      </c>
      <c r="H66" s="6">
        <f t="shared" si="2"/>
        <v>-20.543490283182642</v>
      </c>
      <c r="I66" s="6">
        <f t="shared" si="3"/>
        <v>-22.716639892349512</v>
      </c>
      <c r="R66" s="28"/>
      <c r="S66" s="29"/>
      <c r="T66" s="1"/>
      <c r="U66" s="1"/>
      <c r="V66" s="1"/>
      <c r="W66" s="1"/>
      <c r="X66" s="1"/>
      <c r="Y66" s="1"/>
      <c r="Z66" s="1"/>
      <c r="AA66" s="1"/>
      <c r="AB66" s="1"/>
      <c r="AC66" s="1"/>
      <c r="AD66" s="1"/>
    </row>
    <row r="67" spans="1:30">
      <c r="A67" s="20">
        <f t="shared" si="6"/>
        <v>31.5</v>
      </c>
      <c r="B67" s="20">
        <v>45</v>
      </c>
      <c r="C67" s="20">
        <v>3</v>
      </c>
      <c r="D67" s="20">
        <f t="shared" si="4"/>
        <v>48</v>
      </c>
      <c r="E67" s="20">
        <f t="shared" si="5"/>
        <v>0.9375</v>
      </c>
      <c r="F67" s="34">
        <f t="shared" si="7"/>
        <v>5.4475729869189859E-2</v>
      </c>
      <c r="G67" s="36">
        <f t="shared" si="0"/>
        <v>0.9455242701308102</v>
      </c>
      <c r="H67" s="6">
        <f t="shared" si="2"/>
        <v>-11.221999617910047</v>
      </c>
      <c r="I67" s="6">
        <f t="shared" si="3"/>
        <v>-11.25070749524237</v>
      </c>
      <c r="R67" s="28"/>
      <c r="S67" s="29"/>
      <c r="T67" s="1"/>
      <c r="U67" s="1"/>
      <c r="V67" s="1"/>
      <c r="W67" s="1"/>
      <c r="X67" s="1"/>
      <c r="Y67" s="1"/>
      <c r="Z67" s="1"/>
      <c r="AA67" s="1"/>
      <c r="AB67" s="1"/>
      <c r="AC67" s="1"/>
      <c r="AD67" s="1"/>
    </row>
    <row r="68" spans="1:30">
      <c r="A68" s="20">
        <f t="shared" si="6"/>
        <v>32.5</v>
      </c>
      <c r="B68" s="20">
        <v>35</v>
      </c>
      <c r="C68" s="20">
        <v>2</v>
      </c>
      <c r="D68" s="20">
        <f t="shared" si="4"/>
        <v>37</v>
      </c>
      <c r="E68" s="20">
        <f t="shared" si="5"/>
        <v>0.94594594594594594</v>
      </c>
      <c r="F68" s="34">
        <f t="shared" si="7"/>
        <v>5.2339705948432388E-2</v>
      </c>
      <c r="G68" s="36">
        <f t="shared" si="0"/>
        <v>0.9476602940515676</v>
      </c>
      <c r="H68" s="6">
        <f t="shared" si="2"/>
        <v>-7.7804862545869344</v>
      </c>
      <c r="I68" s="6">
        <f t="shared" si="3"/>
        <v>-7.7815713193950948</v>
      </c>
      <c r="R68" s="28"/>
      <c r="S68" s="29"/>
      <c r="T68" s="1"/>
      <c r="U68" s="1"/>
      <c r="V68" s="1"/>
      <c r="W68" s="1"/>
      <c r="X68" s="1"/>
      <c r="Y68" s="1"/>
      <c r="Z68" s="1"/>
      <c r="AA68" s="1"/>
      <c r="AB68" s="1"/>
      <c r="AC68" s="1"/>
      <c r="AD68" s="1"/>
    </row>
    <row r="69" spans="1:30">
      <c r="A69" s="20">
        <f t="shared" si="6"/>
        <v>33.5</v>
      </c>
      <c r="B69" s="20">
        <v>39</v>
      </c>
      <c r="C69" s="20">
        <v>2</v>
      </c>
      <c r="D69" s="20">
        <f t="shared" si="4"/>
        <v>41</v>
      </c>
      <c r="E69" s="20">
        <f t="shared" si="5"/>
        <v>0.95121951219512191</v>
      </c>
      <c r="F69" s="34">
        <f t="shared" si="7"/>
        <v>5.0287436723591872E-2</v>
      </c>
      <c r="G69" s="36">
        <f t="shared" si="0"/>
        <v>0.94971256327640807</v>
      </c>
      <c r="H69" s="6">
        <f t="shared" si="2"/>
        <v>-7.9912561747005189</v>
      </c>
      <c r="I69" s="6">
        <f t="shared" si="3"/>
        <v>-7.9922403005289766</v>
      </c>
      <c r="R69" s="28"/>
      <c r="S69" s="29"/>
      <c r="T69" s="1"/>
      <c r="U69" s="1"/>
      <c r="V69" s="1"/>
      <c r="W69" s="1"/>
      <c r="X69" s="1"/>
      <c r="Y69" s="1"/>
      <c r="Z69" s="1"/>
      <c r="AA69" s="1"/>
      <c r="AB69" s="1"/>
      <c r="AC69" s="1"/>
      <c r="AD69" s="1"/>
    </row>
    <row r="70" spans="1:30">
      <c r="A70" s="20">
        <f t="shared" si="6"/>
        <v>34.5</v>
      </c>
      <c r="B70" s="20">
        <v>36</v>
      </c>
      <c r="C70" s="20">
        <v>4</v>
      </c>
      <c r="D70" s="20">
        <f t="shared" si="4"/>
        <v>40</v>
      </c>
      <c r="E70" s="20">
        <f t="shared" si="5"/>
        <v>0.9</v>
      </c>
      <c r="F70" s="34">
        <f t="shared" si="7"/>
        <v>4.8315638126067775E-2</v>
      </c>
      <c r="G70" s="36">
        <f t="shared" si="0"/>
        <v>0.95168436187393224</v>
      </c>
      <c r="H70" s="6">
        <f t="shared" si="2"/>
        <v>-13.00331893565793</v>
      </c>
      <c r="I70" s="6">
        <f t="shared" si="3"/>
        <v>-13.902786665517739</v>
      </c>
      <c r="R70" s="28"/>
      <c r="S70" s="29"/>
      <c r="T70" s="1"/>
      <c r="U70" s="1"/>
      <c r="V70" s="1"/>
      <c r="W70" s="1"/>
      <c r="X70" s="1"/>
      <c r="Y70" s="1"/>
      <c r="Z70" s="1"/>
      <c r="AA70" s="1"/>
      <c r="AB70" s="1"/>
      <c r="AC70" s="1"/>
      <c r="AD70" s="1"/>
    </row>
    <row r="71" spans="1:30">
      <c r="A71" s="20">
        <f t="shared" si="6"/>
        <v>35.5</v>
      </c>
      <c r="B71" s="20">
        <v>37</v>
      </c>
      <c r="C71" s="20">
        <v>1</v>
      </c>
      <c r="D71" s="20">
        <f t="shared" si="4"/>
        <v>38</v>
      </c>
      <c r="E71" s="20">
        <f t="shared" si="5"/>
        <v>0.97368421052631582</v>
      </c>
      <c r="F71" s="34">
        <f t="shared" si="7"/>
        <v>4.6421154857431264E-2</v>
      </c>
      <c r="G71" s="36">
        <f t="shared" si="0"/>
        <v>0.95357884514256874</v>
      </c>
      <c r="H71" s="6">
        <f t="shared" si="2"/>
        <v>-4.6243113017663546</v>
      </c>
      <c r="I71" s="6">
        <f t="shared" si="3"/>
        <v>-4.8287271835008978</v>
      </c>
      <c r="R71" s="28"/>
      <c r="S71" s="29"/>
      <c r="T71" s="1"/>
      <c r="U71" s="1"/>
      <c r="V71" s="1"/>
      <c r="W71" s="1"/>
      <c r="X71" s="1"/>
      <c r="Y71" s="1"/>
      <c r="Z71" s="1"/>
      <c r="AA71" s="1"/>
      <c r="AB71" s="1"/>
      <c r="AC71" s="1"/>
      <c r="AD71" s="1"/>
    </row>
    <row r="72" spans="1:30">
      <c r="A72" s="20">
        <f t="shared" si="6"/>
        <v>36.5</v>
      </c>
      <c r="B72" s="20">
        <v>37</v>
      </c>
      <c r="C72" s="20">
        <v>2</v>
      </c>
      <c r="D72" s="20">
        <f t="shared" si="4"/>
        <v>39</v>
      </c>
      <c r="E72" s="20">
        <f t="shared" si="5"/>
        <v>0.94871794871794868</v>
      </c>
      <c r="F72" s="34">
        <f t="shared" si="7"/>
        <v>4.4600955340274528E-2</v>
      </c>
      <c r="G72" s="36">
        <f t="shared" si="0"/>
        <v>0.95539904465972547</v>
      </c>
      <c r="H72" s="6">
        <f t="shared" si="2"/>
        <v>-7.8886470701000162</v>
      </c>
      <c r="I72" s="6">
        <f t="shared" si="3"/>
        <v>-7.9081685846776919</v>
      </c>
      <c r="R72" s="28"/>
      <c r="S72" s="29"/>
      <c r="T72" s="1"/>
      <c r="U72" s="1"/>
      <c r="V72" s="1"/>
      <c r="W72" s="1"/>
      <c r="X72" s="1"/>
      <c r="Y72" s="1"/>
      <c r="Z72" s="1"/>
      <c r="AA72" s="1"/>
      <c r="AB72" s="1"/>
      <c r="AC72" s="1"/>
      <c r="AD72" s="1"/>
    </row>
    <row r="73" spans="1:30">
      <c r="A73" s="20">
        <f t="shared" si="6"/>
        <v>37.5</v>
      </c>
      <c r="B73" s="20">
        <v>37</v>
      </c>
      <c r="C73" s="20">
        <v>4</v>
      </c>
      <c r="D73" s="20">
        <f t="shared" si="4"/>
        <v>41</v>
      </c>
      <c r="E73" s="20">
        <f t="shared" si="5"/>
        <v>0.90243902439024393</v>
      </c>
      <c r="F73" s="34">
        <f t="shared" si="7"/>
        <v>4.285212686704018E-2</v>
      </c>
      <c r="G73" s="36">
        <f t="shared" si="0"/>
        <v>0.95714787313295979</v>
      </c>
      <c r="H73" s="6">
        <f t="shared" si="2"/>
        <v>-13.107314522560754</v>
      </c>
      <c r="I73" s="6">
        <f t="shared" si="3"/>
        <v>-14.220503137161661</v>
      </c>
      <c r="R73" s="28"/>
      <c r="S73" s="29"/>
      <c r="T73" s="1"/>
      <c r="U73" s="1"/>
      <c r="V73" s="1"/>
      <c r="W73" s="1"/>
      <c r="X73" s="1"/>
      <c r="Y73" s="1"/>
      <c r="Z73" s="1"/>
      <c r="AA73" s="1"/>
      <c r="AB73" s="1"/>
      <c r="AC73" s="1"/>
      <c r="AD73" s="1"/>
    </row>
    <row r="74" spans="1:30">
      <c r="A74" s="20">
        <f t="shared" si="6"/>
        <v>38.5</v>
      </c>
      <c r="B74" s="20">
        <v>28</v>
      </c>
      <c r="C74" s="20">
        <v>2</v>
      </c>
      <c r="D74" s="20">
        <f t="shared" si="4"/>
        <v>30</v>
      </c>
      <c r="E74" s="20">
        <f t="shared" si="5"/>
        <v>0.93333333333333335</v>
      </c>
      <c r="F74" s="34">
        <f t="shared" si="7"/>
        <v>4.1171870939067733E-2</v>
      </c>
      <c r="G74" s="36">
        <f t="shared" si="0"/>
        <v>0.95882812906093229</v>
      </c>
      <c r="H74" s="6">
        <f t="shared" si="2"/>
        <v>-7.3479008038390612</v>
      </c>
      <c r="I74" s="6">
        <f t="shared" si="3"/>
        <v>-7.5572162940969889</v>
      </c>
      <c r="R74" s="28"/>
      <c r="S74" s="29"/>
      <c r="T74" s="1"/>
      <c r="U74" s="1"/>
      <c r="V74" s="1"/>
      <c r="W74" s="1"/>
      <c r="X74" s="1"/>
      <c r="Y74" s="1"/>
      <c r="Z74" s="1"/>
      <c r="AA74" s="1"/>
      <c r="AB74" s="1"/>
      <c r="AC74" s="1"/>
      <c r="AD74" s="1"/>
    </row>
    <row r="75" spans="1:30">
      <c r="A75" s="20">
        <f t="shared" si="6"/>
        <v>39.5</v>
      </c>
      <c r="B75" s="20">
        <v>26</v>
      </c>
      <c r="C75" s="20">
        <v>1</v>
      </c>
      <c r="D75" s="20">
        <f t="shared" si="4"/>
        <v>27</v>
      </c>
      <c r="E75" s="20">
        <f t="shared" si="5"/>
        <v>0.96296296296296291</v>
      </c>
      <c r="F75" s="34">
        <f t="shared" si="7"/>
        <v>3.9557498788398725E-2</v>
      </c>
      <c r="G75" s="36">
        <f t="shared" si="0"/>
        <v>0.96044250121160124</v>
      </c>
      <c r="H75" s="6">
        <f t="shared" si="2"/>
        <v>-4.2770853935583517</v>
      </c>
      <c r="I75" s="6">
        <f t="shared" si="3"/>
        <v>-4.2793902109030224</v>
      </c>
      <c r="R75" s="28"/>
      <c r="S75" s="29"/>
      <c r="T75" s="1"/>
      <c r="U75" s="1"/>
      <c r="V75" s="1"/>
      <c r="W75" s="1"/>
      <c r="X75" s="1"/>
      <c r="Y75" s="1"/>
      <c r="Z75" s="1"/>
      <c r="AA75" s="1"/>
      <c r="AB75" s="1"/>
      <c r="AC75" s="1"/>
      <c r="AD75" s="1"/>
    </row>
    <row r="76" spans="1:30">
      <c r="A76" s="20">
        <f t="shared" si="6"/>
        <v>40.5</v>
      </c>
      <c r="B76" s="20">
        <v>25</v>
      </c>
      <c r="C76" s="20">
        <v>0</v>
      </c>
      <c r="D76" s="20">
        <f t="shared" si="4"/>
        <v>25</v>
      </c>
      <c r="E76" s="20">
        <f t="shared" si="5"/>
        <v>1</v>
      </c>
      <c r="F76" s="34">
        <f t="shared" si="7"/>
        <v>3.8006427075174314E-2</v>
      </c>
      <c r="G76" s="36">
        <f t="shared" si="0"/>
        <v>0.96199357292482568</v>
      </c>
      <c r="H76" s="6">
        <f t="shared" si="2"/>
        <v>0</v>
      </c>
      <c r="I76" s="6">
        <f t="shared" si="3"/>
        <v>-0.96868773225182192</v>
      </c>
      <c r="R76" s="28"/>
      <c r="S76" s="29"/>
      <c r="T76" s="1"/>
      <c r="U76" s="1"/>
      <c r="V76" s="1"/>
      <c r="W76" s="1"/>
      <c r="X76" s="1"/>
      <c r="Y76" s="1"/>
      <c r="Z76" s="1"/>
      <c r="AA76" s="1"/>
      <c r="AB76" s="1"/>
      <c r="AC76" s="1"/>
      <c r="AD76" s="1"/>
    </row>
    <row r="77" spans="1:30">
      <c r="A77" s="20">
        <f t="shared" si="6"/>
        <v>41.5</v>
      </c>
      <c r="B77" s="20">
        <v>21</v>
      </c>
      <c r="C77" s="20">
        <v>1</v>
      </c>
      <c r="D77" s="20">
        <f t="shared" si="4"/>
        <v>22</v>
      </c>
      <c r="E77" s="20">
        <f t="shared" si="5"/>
        <v>0.95454545454545459</v>
      </c>
      <c r="F77" s="34">
        <f t="shared" si="7"/>
        <v>3.6516173753740395E-2</v>
      </c>
      <c r="G77" s="36">
        <f t="shared" si="0"/>
        <v>0.96348382624625961</v>
      </c>
      <c r="H77" s="6">
        <f t="shared" si="2"/>
        <v>-4.0679627816910662</v>
      </c>
      <c r="I77" s="6">
        <f t="shared" si="3"/>
        <v>-4.0911911322905787</v>
      </c>
      <c r="R77" s="28"/>
      <c r="S77" s="29"/>
      <c r="T77" s="1"/>
      <c r="U77" s="1"/>
      <c r="V77" s="1"/>
      <c r="W77" s="1"/>
      <c r="X77" s="1"/>
      <c r="Y77" s="1"/>
      <c r="Z77" s="1"/>
      <c r="AA77" s="1"/>
      <c r="AB77" s="1"/>
      <c r="AC77" s="1"/>
      <c r="AD77" s="1"/>
    </row>
    <row r="78" spans="1:30">
      <c r="A78" s="20">
        <f t="shared" si="6"/>
        <v>42.5</v>
      </c>
      <c r="B78" s="20">
        <v>18</v>
      </c>
      <c r="C78" s="20">
        <v>1</v>
      </c>
      <c r="D78" s="20">
        <f t="shared" si="4"/>
        <v>19</v>
      </c>
      <c r="E78" s="20">
        <f t="shared" si="5"/>
        <v>0.94736842105263153</v>
      </c>
      <c r="F78" s="34">
        <f t="shared" si="7"/>
        <v>3.5084354100845025E-2</v>
      </c>
      <c r="G78" s="36">
        <f t="shared" si="0"/>
        <v>0.96491564589915502</v>
      </c>
      <c r="H78" s="6">
        <f t="shared" si="2"/>
        <v>-3.9176489620314041</v>
      </c>
      <c r="I78" s="6">
        <f t="shared" si="3"/>
        <v>-3.992862710719022</v>
      </c>
      <c r="R78" s="28"/>
      <c r="S78" s="29"/>
      <c r="T78" s="1"/>
      <c r="U78" s="1"/>
      <c r="V78" s="1"/>
      <c r="W78" s="1"/>
      <c r="X78" s="1"/>
      <c r="Y78" s="1"/>
      <c r="Z78" s="1"/>
      <c r="AA78" s="1"/>
      <c r="AB78" s="1"/>
      <c r="AC78" s="1"/>
      <c r="AD78" s="1"/>
    </row>
    <row r="79" spans="1:30">
      <c r="A79" s="20">
        <f t="shared" si="6"/>
        <v>43.5</v>
      </c>
      <c r="B79" s="20">
        <v>18</v>
      </c>
      <c r="C79" s="20">
        <v>0</v>
      </c>
      <c r="D79" s="20">
        <f t="shared" si="4"/>
        <v>18</v>
      </c>
      <c r="E79" s="20">
        <f t="shared" si="5"/>
        <v>1</v>
      </c>
      <c r="F79" s="34">
        <f t="shared" si="7"/>
        <v>3.3708676899572396E-2</v>
      </c>
      <c r="G79" s="36">
        <f t="shared" si="0"/>
        <v>0.96629132310042765</v>
      </c>
      <c r="H79" s="6">
        <f t="shared" si="2"/>
        <v>0</v>
      </c>
      <c r="I79" s="6">
        <f t="shared" si="3"/>
        <v>-0.61721844347190236</v>
      </c>
      <c r="R79" s="28"/>
      <c r="S79" s="29"/>
      <c r="T79" s="1"/>
      <c r="U79" s="1"/>
      <c r="V79" s="1"/>
      <c r="W79" s="1"/>
      <c r="X79" s="1"/>
      <c r="Y79" s="1"/>
      <c r="Z79" s="1"/>
      <c r="AA79" s="1"/>
      <c r="AB79" s="1"/>
      <c r="AC79" s="1"/>
      <c r="AD79" s="1"/>
    </row>
    <row r="80" spans="1:30">
      <c r="R80" s="28"/>
      <c r="S80" s="29"/>
      <c r="T80" s="1"/>
      <c r="U80" s="1"/>
      <c r="V80" s="1"/>
      <c r="W80" s="1"/>
      <c r="X80" s="1"/>
      <c r="Y80" s="1"/>
      <c r="Z80" s="1"/>
      <c r="AA80" s="1"/>
      <c r="AB80" s="1"/>
      <c r="AC80" s="1"/>
      <c r="AD80" s="1"/>
    </row>
    <row r="81" spans="18:30">
      <c r="R81" s="28"/>
      <c r="S81" s="29"/>
      <c r="T81" s="1"/>
      <c r="U81" s="1"/>
      <c r="V81" s="1"/>
      <c r="W81" s="1"/>
      <c r="X81" s="1"/>
      <c r="Y81" s="1"/>
      <c r="Z81" s="1"/>
      <c r="AA81" s="1"/>
      <c r="AB81" s="1"/>
      <c r="AC81" s="1"/>
      <c r="AD81" s="1"/>
    </row>
    <row r="82" spans="18:30">
      <c r="R82" s="28"/>
      <c r="S82" s="29"/>
      <c r="T82" s="1"/>
      <c r="U82" s="1"/>
      <c r="V82" s="1"/>
      <c r="W82" s="1"/>
      <c r="X82" s="1"/>
      <c r="Y82" s="1"/>
      <c r="Z82" s="1"/>
      <c r="AA82" s="1"/>
      <c r="AB82" s="1"/>
      <c r="AC82" s="1"/>
      <c r="AD82" s="1"/>
    </row>
    <row r="83" spans="18:30">
      <c r="R83" s="28"/>
      <c r="S83" s="29"/>
      <c r="T83" s="1"/>
      <c r="U83" s="1"/>
      <c r="V83" s="1"/>
      <c r="W83" s="1"/>
      <c r="X83" s="1"/>
      <c r="Y83" s="1"/>
      <c r="Z83" s="1"/>
      <c r="AA83" s="1"/>
      <c r="AB83" s="1"/>
      <c r="AC83" s="1"/>
      <c r="AD83" s="1"/>
    </row>
    <row r="84" spans="18:30">
      <c r="R84" s="28"/>
      <c r="S84" s="29"/>
      <c r="T84" s="1"/>
      <c r="U84" s="1"/>
      <c r="V84" s="1"/>
      <c r="W84" s="1"/>
      <c r="X84" s="1"/>
      <c r="Y84" s="1"/>
      <c r="Z84" s="1"/>
      <c r="AA84" s="1"/>
      <c r="AB84" s="1"/>
      <c r="AC84" s="1"/>
      <c r="AD84" s="1"/>
    </row>
    <row r="85" spans="18:30">
      <c r="R85" s="28"/>
      <c r="S85" s="29"/>
      <c r="T85" s="1"/>
      <c r="U85" s="1"/>
      <c r="V85" s="1"/>
      <c r="W85" s="1"/>
      <c r="X85" s="1"/>
      <c r="Y85" s="1"/>
      <c r="Z85" s="1"/>
      <c r="AA85" s="1"/>
      <c r="AB85" s="1"/>
      <c r="AC85" s="1"/>
      <c r="AD85" s="1"/>
    </row>
    <row r="86" spans="18:30">
      <c r="R86" s="28"/>
      <c r="S86" s="29"/>
      <c r="T86" s="1"/>
      <c r="U86" s="1"/>
      <c r="V86" s="1"/>
      <c r="W86" s="1"/>
      <c r="X86" s="1"/>
      <c r="Y86" s="1"/>
      <c r="Z86" s="1"/>
      <c r="AA86" s="1"/>
      <c r="AB86" s="1"/>
      <c r="AC86" s="1"/>
      <c r="AD86" s="1"/>
    </row>
    <row r="87" spans="18:30">
      <c r="R87" s="28"/>
      <c r="S87" s="29"/>
      <c r="T87" s="1"/>
      <c r="U87" s="1"/>
      <c r="V87" s="1"/>
      <c r="W87" s="1"/>
      <c r="X87" s="1"/>
      <c r="Y87" s="1"/>
      <c r="Z87" s="1"/>
      <c r="AA87" s="1"/>
      <c r="AB87" s="1"/>
      <c r="AC87" s="1"/>
      <c r="AD87" s="1"/>
    </row>
    <row r="88" spans="18:30">
      <c r="R88" s="28"/>
      <c r="S88" s="29"/>
      <c r="T88" s="1"/>
      <c r="U88" s="1"/>
      <c r="V88" s="1"/>
      <c r="W88" s="1"/>
      <c r="X88" s="1"/>
      <c r="Y88" s="1"/>
      <c r="Z88" s="1"/>
      <c r="AA88" s="1"/>
      <c r="AB88" s="1"/>
      <c r="AC88" s="1"/>
      <c r="AD88" s="1"/>
    </row>
    <row r="89" spans="18:30">
      <c r="R89" s="28"/>
      <c r="S89" s="29"/>
      <c r="T89" s="1"/>
      <c r="U89" s="1"/>
      <c r="V89" s="1"/>
      <c r="W89" s="1"/>
      <c r="X89" s="1"/>
      <c r="Y89" s="1"/>
      <c r="Z89" s="1"/>
      <c r="AA89" s="1"/>
      <c r="AB89" s="1"/>
      <c r="AC89" s="1"/>
      <c r="AD89" s="1"/>
    </row>
    <row r="90" spans="18:30">
      <c r="R90" s="28"/>
      <c r="S90" s="29"/>
      <c r="T90" s="1"/>
      <c r="U90" s="1"/>
      <c r="V90" s="1"/>
      <c r="W90" s="1"/>
      <c r="X90" s="1"/>
      <c r="Y90" s="1"/>
      <c r="Z90" s="1"/>
      <c r="AA90" s="1"/>
      <c r="AB90" s="1"/>
      <c r="AC90" s="1"/>
      <c r="AD90" s="1"/>
    </row>
    <row r="91" spans="18:30">
      <c r="R91" s="28"/>
      <c r="S91" s="29"/>
      <c r="T91" s="1"/>
      <c r="U91" s="1"/>
      <c r="V91" s="1"/>
      <c r="W91" s="1"/>
      <c r="X91" s="1"/>
      <c r="Y91" s="1"/>
      <c r="Z91" s="1"/>
      <c r="AA91" s="1"/>
      <c r="AB91" s="1"/>
      <c r="AC91" s="1"/>
      <c r="AD91" s="1"/>
    </row>
    <row r="92" spans="18:30">
      <c r="R92" s="28"/>
      <c r="S92" s="29"/>
      <c r="T92" s="1"/>
      <c r="U92" s="1"/>
      <c r="V92" s="1"/>
      <c r="W92" s="1"/>
      <c r="X92" s="1"/>
      <c r="Y92" s="1"/>
      <c r="Z92" s="1"/>
      <c r="AA92" s="1"/>
      <c r="AB92" s="1"/>
      <c r="AC92" s="1"/>
      <c r="AD92" s="1"/>
    </row>
    <row r="93" spans="18:30">
      <c r="R93" s="28"/>
      <c r="S93" s="29"/>
      <c r="T93" s="1"/>
      <c r="U93" s="1"/>
      <c r="V93" s="1"/>
      <c r="W93" s="1"/>
      <c r="X93" s="1"/>
      <c r="Y93" s="1"/>
      <c r="Z93" s="1"/>
      <c r="AA93" s="1"/>
      <c r="AB93" s="1"/>
      <c r="AC93" s="1"/>
      <c r="AD93" s="1"/>
    </row>
    <row r="94" spans="18:30">
      <c r="R94" s="28"/>
      <c r="S94" s="29"/>
      <c r="T94" s="1"/>
      <c r="U94" s="1"/>
      <c r="V94" s="1"/>
      <c r="W94" s="1"/>
      <c r="X94" s="1"/>
      <c r="Y94" s="1"/>
      <c r="Z94" s="1"/>
      <c r="AA94" s="1"/>
      <c r="AB94" s="1"/>
      <c r="AC94" s="1"/>
      <c r="AD94" s="1"/>
    </row>
    <row r="95" spans="18:30">
      <c r="R95" s="28"/>
      <c r="S95" s="29"/>
      <c r="T95" s="1"/>
      <c r="U95" s="1"/>
      <c r="V95" s="1"/>
      <c r="W95" s="1"/>
      <c r="X95" s="1"/>
      <c r="Y95" s="1"/>
      <c r="Z95" s="1"/>
      <c r="AA95" s="1"/>
      <c r="AB95" s="1"/>
      <c r="AC95" s="1"/>
      <c r="AD95" s="1"/>
    </row>
    <row r="96" spans="18:30">
      <c r="R96" s="28"/>
      <c r="S96" s="29"/>
      <c r="T96" s="1"/>
      <c r="U96" s="1"/>
      <c r="V96" s="1"/>
      <c r="W96" s="1"/>
      <c r="X96" s="1"/>
      <c r="Y96" s="1"/>
      <c r="Z96" s="1"/>
      <c r="AA96" s="1"/>
      <c r="AB96" s="1"/>
      <c r="AC96" s="1"/>
      <c r="AD96" s="1"/>
    </row>
    <row r="97" spans="18:30">
      <c r="R97" s="28"/>
      <c r="S97" s="29"/>
      <c r="T97" s="1"/>
      <c r="U97" s="1"/>
      <c r="V97" s="1"/>
      <c r="W97" s="1"/>
      <c r="X97" s="1"/>
      <c r="Y97" s="1"/>
      <c r="Z97" s="1"/>
      <c r="AA97" s="1"/>
      <c r="AB97" s="1"/>
      <c r="AC97" s="1"/>
      <c r="AD97" s="1"/>
    </row>
    <row r="98" spans="18:30">
      <c r="R98" s="28"/>
      <c r="S98" s="29"/>
      <c r="T98" s="1"/>
      <c r="U98" s="1"/>
      <c r="V98" s="1"/>
      <c r="W98" s="1"/>
      <c r="X98" s="1"/>
      <c r="Y98" s="1"/>
      <c r="Z98" s="1"/>
      <c r="AA98" s="1"/>
      <c r="AB98" s="1"/>
      <c r="AC98" s="1"/>
      <c r="AD98" s="1"/>
    </row>
    <row r="99" spans="18:30">
      <c r="R99" s="28"/>
      <c r="S99" s="29"/>
      <c r="T99" s="1"/>
      <c r="U99" s="1"/>
      <c r="V99" s="1"/>
      <c r="W99" s="1"/>
      <c r="X99" s="1"/>
      <c r="Y99" s="1"/>
      <c r="Z99" s="1"/>
      <c r="AA99" s="1"/>
      <c r="AB99" s="1"/>
      <c r="AC99" s="1"/>
      <c r="AD99" s="1"/>
    </row>
    <row r="100" spans="18:30">
      <c r="R100" s="28"/>
      <c r="S100" s="29"/>
      <c r="T100" s="1"/>
      <c r="U100" s="1"/>
      <c r="V100" s="1"/>
      <c r="W100" s="1"/>
      <c r="X100" s="1"/>
      <c r="Y100" s="1"/>
      <c r="Z100" s="1"/>
      <c r="AA100" s="1"/>
      <c r="AB100" s="1"/>
      <c r="AC100" s="1"/>
      <c r="AD100" s="1"/>
    </row>
    <row r="101" spans="18:30">
      <c r="R101" s="28"/>
      <c r="S101" s="29"/>
      <c r="T101" s="1"/>
      <c r="U101" s="1"/>
      <c r="V101" s="1"/>
      <c r="W101" s="1"/>
      <c r="X101" s="1"/>
      <c r="Y101" s="1"/>
      <c r="Z101" s="1"/>
      <c r="AA101" s="1"/>
      <c r="AB101" s="1"/>
      <c r="AC101" s="1"/>
      <c r="AD101" s="1"/>
    </row>
    <row r="102" spans="18:30">
      <c r="R102" s="28"/>
      <c r="S102" s="29"/>
      <c r="T102" s="1"/>
      <c r="U102" s="1"/>
      <c r="V102" s="1"/>
      <c r="W102" s="1"/>
      <c r="X102" s="1"/>
      <c r="Y102" s="1"/>
      <c r="Z102" s="1"/>
      <c r="AA102" s="1"/>
      <c r="AB102" s="1"/>
      <c r="AC102" s="1"/>
      <c r="AD102" s="1"/>
    </row>
    <row r="103" spans="18:30">
      <c r="R103" s="28"/>
      <c r="S103" s="29"/>
      <c r="T103" s="1"/>
      <c r="U103" s="1"/>
      <c r="V103" s="1"/>
      <c r="W103" s="1"/>
      <c r="X103" s="1"/>
      <c r="Y103" s="1"/>
      <c r="Z103" s="1"/>
      <c r="AA103" s="1"/>
      <c r="AB103" s="1"/>
      <c r="AC103" s="1"/>
      <c r="AD103" s="1"/>
    </row>
    <row r="104" spans="18:30">
      <c r="R104" s="28"/>
      <c r="S104" s="29"/>
      <c r="T104" s="1"/>
      <c r="U104" s="1"/>
      <c r="V104" s="1"/>
      <c r="W104" s="1"/>
      <c r="X104" s="1"/>
      <c r="Y104" s="1"/>
      <c r="Z104" s="1"/>
      <c r="AA104" s="1"/>
      <c r="AB104" s="1"/>
      <c r="AC104" s="1"/>
      <c r="AD104" s="1"/>
    </row>
    <row r="105" spans="18:30">
      <c r="R105" s="28"/>
      <c r="S105" s="29"/>
      <c r="T105" s="1"/>
      <c r="U105" s="1"/>
      <c r="V105" s="1"/>
      <c r="W105" s="1"/>
      <c r="X105" s="1"/>
      <c r="Y105" s="1"/>
      <c r="Z105" s="1"/>
      <c r="AA105" s="1"/>
      <c r="AB105" s="1"/>
      <c r="AC105" s="1"/>
      <c r="AD105" s="1"/>
    </row>
    <row r="106" spans="18:30">
      <c r="R106" s="28"/>
      <c r="S106" s="29"/>
      <c r="T106" s="1"/>
      <c r="U106" s="1"/>
      <c r="V106" s="1"/>
      <c r="W106" s="1"/>
      <c r="X106" s="1"/>
      <c r="Y106" s="1"/>
      <c r="Z106" s="1"/>
      <c r="AA106" s="1"/>
      <c r="AB106" s="1"/>
      <c r="AC106" s="1"/>
      <c r="AD106" s="1"/>
    </row>
    <row r="107" spans="18:30">
      <c r="R107" s="28"/>
      <c r="S107" s="29"/>
      <c r="T107" s="1"/>
      <c r="U107" s="1"/>
      <c r="V107" s="1"/>
      <c r="W107" s="1"/>
      <c r="X107" s="1"/>
      <c r="Y107" s="1"/>
      <c r="Z107" s="1"/>
      <c r="AA107" s="1"/>
      <c r="AB107" s="1"/>
      <c r="AC107" s="1"/>
      <c r="AD107" s="1"/>
    </row>
    <row r="108" spans="18:30">
      <c r="R108" s="28"/>
      <c r="S108" s="29"/>
      <c r="T108" s="1"/>
      <c r="U108" s="1"/>
      <c r="V108" s="1"/>
      <c r="W108" s="1"/>
      <c r="X108" s="1"/>
      <c r="Y108" s="1"/>
      <c r="Z108" s="1"/>
      <c r="AA108" s="1"/>
      <c r="AB108" s="1"/>
      <c r="AC108" s="1"/>
      <c r="AD108" s="1"/>
    </row>
    <row r="109" spans="18:30">
      <c r="R109" s="28"/>
      <c r="S109" s="29"/>
      <c r="T109" s="1"/>
      <c r="U109" s="1"/>
      <c r="V109" s="1"/>
      <c r="W109" s="1"/>
      <c r="X109" s="1"/>
      <c r="Y109" s="1"/>
      <c r="Z109" s="1"/>
      <c r="AA109" s="1"/>
      <c r="AB109" s="1"/>
      <c r="AC109" s="1"/>
      <c r="AD109" s="1"/>
    </row>
    <row r="110" spans="18:30">
      <c r="R110" s="28"/>
      <c r="S110" s="29"/>
      <c r="T110" s="1"/>
      <c r="U110" s="1"/>
      <c r="V110" s="1"/>
      <c r="W110" s="1"/>
      <c r="X110" s="1"/>
      <c r="Y110" s="1"/>
      <c r="Z110" s="1"/>
      <c r="AA110" s="1"/>
      <c r="AB110" s="1"/>
      <c r="AC110" s="1"/>
      <c r="AD110" s="1"/>
    </row>
    <row r="111" spans="18:30">
      <c r="R111" s="28"/>
      <c r="S111" s="29"/>
      <c r="T111" s="1"/>
      <c r="U111" s="1"/>
      <c r="V111" s="1"/>
      <c r="W111" s="1"/>
      <c r="X111" s="1"/>
      <c r="Y111" s="1"/>
      <c r="Z111" s="1"/>
      <c r="AA111" s="1"/>
      <c r="AB111" s="1"/>
      <c r="AC111" s="1"/>
      <c r="AD111" s="1"/>
    </row>
    <row r="112" spans="18:30">
      <c r="R112" s="28"/>
      <c r="S112" s="29"/>
      <c r="T112" s="1"/>
      <c r="U112" s="1"/>
      <c r="V112" s="1"/>
      <c r="W112" s="1"/>
      <c r="X112" s="1"/>
      <c r="Y112" s="1"/>
      <c r="Z112" s="1"/>
      <c r="AA112" s="1"/>
      <c r="AB112" s="1"/>
      <c r="AC112" s="1"/>
      <c r="AD112" s="1"/>
    </row>
    <row r="113" spans="18:30">
      <c r="R113" s="28"/>
      <c r="S113" s="29"/>
      <c r="T113" s="1"/>
      <c r="U113" s="1"/>
      <c r="V113" s="1"/>
      <c r="W113" s="1"/>
      <c r="X113" s="1"/>
      <c r="Y113" s="1"/>
      <c r="Z113" s="1"/>
      <c r="AA113" s="1"/>
      <c r="AB113" s="1"/>
      <c r="AC113" s="1"/>
      <c r="AD113" s="1"/>
    </row>
    <row r="114" spans="18:30">
      <c r="R114" s="28"/>
      <c r="S114" s="29"/>
      <c r="T114" s="1"/>
      <c r="U114" s="1"/>
      <c r="V114" s="1"/>
      <c r="W114" s="1"/>
      <c r="X114" s="1"/>
      <c r="Y114" s="1"/>
      <c r="Z114" s="1"/>
      <c r="AA114" s="1"/>
      <c r="AB114" s="1"/>
      <c r="AC114" s="1"/>
      <c r="AD114" s="1"/>
    </row>
    <row r="115" spans="18:30">
      <c r="R115" s="28"/>
      <c r="S115" s="29"/>
      <c r="T115" s="1"/>
      <c r="U115" s="1"/>
      <c r="V115" s="1"/>
      <c r="W115" s="1"/>
      <c r="X115" s="1"/>
      <c r="Y115" s="1"/>
      <c r="Z115" s="1"/>
      <c r="AA115" s="1"/>
      <c r="AB115" s="1"/>
      <c r="AC115" s="1"/>
      <c r="AD115" s="1"/>
    </row>
    <row r="116" spans="18:30">
      <c r="R116" s="28"/>
      <c r="S116" s="29"/>
      <c r="T116" s="1"/>
      <c r="U116" s="1"/>
      <c r="V116" s="1"/>
      <c r="W116" s="1"/>
      <c r="X116" s="1"/>
      <c r="Y116" s="1"/>
      <c r="Z116" s="1"/>
      <c r="AA116" s="1"/>
      <c r="AB116" s="1"/>
      <c r="AC116" s="1"/>
      <c r="AD116" s="1"/>
    </row>
    <row r="117" spans="18:30">
      <c r="R117" s="28"/>
      <c r="S117" s="29"/>
      <c r="T117" s="1"/>
      <c r="U117" s="1"/>
      <c r="V117" s="1"/>
      <c r="W117" s="1"/>
      <c r="X117" s="1"/>
      <c r="Y117" s="1"/>
      <c r="Z117" s="1"/>
      <c r="AA117" s="1"/>
      <c r="AB117" s="1"/>
      <c r="AC117" s="1"/>
      <c r="AD117" s="1"/>
    </row>
    <row r="118" spans="18:30">
      <c r="R118" s="28"/>
      <c r="S118" s="29"/>
      <c r="T118" s="1"/>
      <c r="U118" s="1"/>
      <c r="V118" s="1"/>
      <c r="W118" s="1"/>
      <c r="X118" s="1"/>
      <c r="Y118" s="1"/>
      <c r="Z118" s="1"/>
      <c r="AA118" s="1"/>
      <c r="AB118" s="1"/>
      <c r="AC118" s="1"/>
      <c r="AD118" s="1"/>
    </row>
    <row r="119" spans="18:30">
      <c r="R119" s="28"/>
      <c r="S119" s="29"/>
      <c r="T119" s="1"/>
      <c r="U119" s="1"/>
      <c r="V119" s="1"/>
      <c r="W119" s="1"/>
      <c r="X119" s="1"/>
      <c r="Y119" s="1"/>
      <c r="Z119" s="1"/>
      <c r="AA119" s="1"/>
      <c r="AB119" s="1"/>
      <c r="AC119" s="1"/>
      <c r="AD119" s="1"/>
    </row>
    <row r="120" spans="18:30">
      <c r="R120" s="28"/>
      <c r="S120" s="29"/>
      <c r="T120" s="1"/>
      <c r="U120" s="1"/>
      <c r="V120" s="1"/>
      <c r="W120" s="1"/>
      <c r="X120" s="1"/>
      <c r="Y120" s="1"/>
      <c r="Z120" s="1"/>
      <c r="AA120" s="1"/>
      <c r="AB120" s="1"/>
      <c r="AC120" s="1"/>
      <c r="AD120" s="1"/>
    </row>
    <row r="121" spans="18:30">
      <c r="R121" s="28"/>
      <c r="S121" s="29"/>
      <c r="T121" s="1"/>
      <c r="U121" s="1"/>
      <c r="V121" s="1"/>
      <c r="W121" s="1"/>
      <c r="X121" s="1"/>
      <c r="Y121" s="1"/>
      <c r="Z121" s="1"/>
      <c r="AA121" s="1"/>
      <c r="AB121" s="1"/>
      <c r="AC121" s="1"/>
      <c r="AD121" s="1"/>
    </row>
  </sheetData>
  <mergeCells count="7">
    <mergeCell ref="D23:E23"/>
    <mergeCell ref="B31:D31"/>
    <mergeCell ref="F31:G31"/>
    <mergeCell ref="H31:I31"/>
    <mergeCell ref="B32:D32"/>
    <mergeCell ref="H32:I32"/>
    <mergeCell ref="F30:G30"/>
  </mergeCells>
  <pageMargins left="0.75" right="0.75" top="1" bottom="1" header="0.5" footer="0.5"/>
  <pageSetup paperSize="9" orientation="portrait" horizontalDpi="4294967293"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age-dept foi</vt:lpstr>
      <vt:lpstr>foi_g15</vt:lpstr>
      <vt:lpstr>foi_u15</vt:lpstr>
      <vt:lpstr>prop_sus15</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Infecious Disease Modelling</dc:title>
  <dc:subject>Model 5.4, version 0.1</dc:subject>
  <dc:creator>EMILIA VYNNYCKY &amp; RICHARD WHITE</dc:creator>
  <cp:lastModifiedBy>Emilia Vynnycky</cp:lastModifiedBy>
  <cp:lastPrinted>2010-02-14T18:36:40Z</cp:lastPrinted>
  <dcterms:created xsi:type="dcterms:W3CDTF">2001-03-14T12:32:53Z</dcterms:created>
  <dcterms:modified xsi:type="dcterms:W3CDTF">2010-09-21T23:17:28Z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us15" linkTarget="prop_sus15">
    <vt:r8>0.105399224561864</vt:r8>
  </property>
</Properties>
</file>