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Override PartName="/xl/charts/chart2.xml" ContentType="application/vnd.openxmlformats-officedocument.drawingml.chart+xml"/>
  <Override PartName="/xl/drawings/drawing4.xml" ContentType="application/vnd.openxmlformats-officedocument.drawingml.chartshap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9420" yWindow="0" windowWidth="9810" windowHeight="8085" activeTab="1"/>
  </bookViews>
  <sheets>
    <sheet name="fixed durn maternal immunity" sheetId="23" r:id="rId1"/>
    <sheet name="waning maternal immunity" sheetId="18" r:id="rId2"/>
  </sheets>
  <definedNames>
    <definedName name="ave_durn_mat">'waning maternal immunity'!$D$15</definedName>
    <definedName name="durn_mat">'fixed durn maternal immunity'!$D$15</definedName>
    <definedName name="foi_pyr_matfix" localSheetId="0">'fixed durn maternal immunity'!$D$14</definedName>
    <definedName name="foi_pyr_matwane">'waning maternal immunity'!$D$14</definedName>
    <definedName name="mat_loss_rate">'waning maternal immunity'!$D$16</definedName>
    <definedName name="solver_cvg" localSheetId="0" hidden="1">0.0001</definedName>
    <definedName name="solver_cvg" localSheetId="1" hidden="1">0.0001</definedName>
    <definedName name="solver_drv" localSheetId="0" hidden="1">1</definedName>
    <definedName name="solver_drv" localSheetId="1" hidden="1">1</definedName>
    <definedName name="solver_est" localSheetId="0" hidden="1">1</definedName>
    <definedName name="solver_est" localSheetId="1" hidden="1">1</definedName>
    <definedName name="solver_itr" localSheetId="0" hidden="1">100</definedName>
    <definedName name="solver_itr" localSheetId="1" hidden="1">100</definedName>
    <definedName name="solver_lin" localSheetId="0" hidden="1">2</definedName>
    <definedName name="solver_lin" localSheetId="1" hidden="1">2</definedName>
    <definedName name="solver_neg" localSheetId="0" hidden="1">2</definedName>
    <definedName name="solver_neg" localSheetId="1" hidden="1">2</definedName>
    <definedName name="solver_num" localSheetId="0" hidden="1">0</definedName>
    <definedName name="solver_num" localSheetId="1" hidden="1">0</definedName>
    <definedName name="solver_nwt" localSheetId="0" hidden="1">1</definedName>
    <definedName name="solver_nwt" localSheetId="1" hidden="1">1</definedName>
    <definedName name="solver_pre" localSheetId="0" hidden="1">0.000001</definedName>
    <definedName name="solver_pre" localSheetId="1" hidden="1">0.000001</definedName>
    <definedName name="solver_scl" localSheetId="0" hidden="1">2</definedName>
    <definedName name="solver_scl" localSheetId="1" hidden="1">2</definedName>
    <definedName name="solver_sho" localSheetId="0" hidden="1">2</definedName>
    <definedName name="solver_sho" localSheetId="1" hidden="1">2</definedName>
    <definedName name="solver_tim" localSheetId="0" hidden="1">100</definedName>
    <definedName name="solver_tim" localSheetId="1" hidden="1">100</definedName>
    <definedName name="solver_tol" localSheetId="0" hidden="1">0.05</definedName>
    <definedName name="solver_tol" localSheetId="1" hidden="1">0.05</definedName>
    <definedName name="solver_typ" localSheetId="0" hidden="1">1</definedName>
    <definedName name="solver_typ" localSheetId="1" hidden="1">1</definedName>
    <definedName name="solver_val" localSheetId="0" hidden="1">0</definedName>
    <definedName name="solver_val" localSheetId="1" hidden="1">0</definedName>
  </definedNames>
  <calcPr calcId="125725"/>
</workbook>
</file>

<file path=xl/calcChain.xml><?xml version="1.0" encoding="utf-8"?>
<calcChain xmlns="http://schemas.openxmlformats.org/spreadsheetml/2006/main">
  <c r="B25" i="18"/>
  <c r="B25" i="23" l="1"/>
  <c r="D16" i="18"/>
  <c r="F41" s="1"/>
  <c r="G41" s="1"/>
  <c r="I41" s="1"/>
  <c r="D79" i="23"/>
  <c r="E79" s="1"/>
  <c r="H79" s="1"/>
  <c r="D78"/>
  <c r="E78" s="1"/>
  <c r="H78" s="1"/>
  <c r="D77"/>
  <c r="E77"/>
  <c r="H77" s="1"/>
  <c r="D76"/>
  <c r="E76" s="1"/>
  <c r="H76" s="1"/>
  <c r="D75"/>
  <c r="E75" s="1"/>
  <c r="H75" s="1"/>
  <c r="D74"/>
  <c r="E74" s="1"/>
  <c r="H74" s="1"/>
  <c r="D73"/>
  <c r="E73"/>
  <c r="H73" s="1"/>
  <c r="D72"/>
  <c r="E72" s="1"/>
  <c r="H72" s="1"/>
  <c r="D71"/>
  <c r="E71" s="1"/>
  <c r="H71" s="1"/>
  <c r="D70"/>
  <c r="E70" s="1"/>
  <c r="H70" s="1"/>
  <c r="D69"/>
  <c r="E69"/>
  <c r="H69" s="1"/>
  <c r="D68"/>
  <c r="E68" s="1"/>
  <c r="H68" s="1"/>
  <c r="D67"/>
  <c r="E67" s="1"/>
  <c r="H67" s="1"/>
  <c r="D66"/>
  <c r="E66" s="1"/>
  <c r="H66" s="1"/>
  <c r="D65"/>
  <c r="E65"/>
  <c r="H65" s="1"/>
  <c r="D64"/>
  <c r="E64" s="1"/>
  <c r="H64" s="1"/>
  <c r="D63"/>
  <c r="E63" s="1"/>
  <c r="H63" s="1"/>
  <c r="D62"/>
  <c r="E62" s="1"/>
  <c r="H62" s="1"/>
  <c r="D61"/>
  <c r="E61"/>
  <c r="H61" s="1"/>
  <c r="D60"/>
  <c r="E60" s="1"/>
  <c r="H60" s="1"/>
  <c r="D59"/>
  <c r="E59" s="1"/>
  <c r="H59" s="1"/>
  <c r="D58"/>
  <c r="E58" s="1"/>
  <c r="H58" s="1"/>
  <c r="D57"/>
  <c r="E57"/>
  <c r="H57" s="1"/>
  <c r="D56"/>
  <c r="E56" s="1"/>
  <c r="H56" s="1"/>
  <c r="D55"/>
  <c r="E55" s="1"/>
  <c r="H55" s="1"/>
  <c r="D54"/>
  <c r="E54" s="1"/>
  <c r="H54" s="1"/>
  <c r="D53"/>
  <c r="E53"/>
  <c r="H53" s="1"/>
  <c r="D52"/>
  <c r="E52" s="1"/>
  <c r="H52" s="1"/>
  <c r="D51"/>
  <c r="E51" s="1"/>
  <c r="H51" s="1"/>
  <c r="D50"/>
  <c r="E50" s="1"/>
  <c r="H50" s="1"/>
  <c r="D49"/>
  <c r="E49"/>
  <c r="H49" s="1"/>
  <c r="D48"/>
  <c r="E48" s="1"/>
  <c r="H48" s="1"/>
  <c r="D47"/>
  <c r="E47" s="1"/>
  <c r="H47" s="1"/>
  <c r="D46"/>
  <c r="E46" s="1"/>
  <c r="H46" s="1"/>
  <c r="D45"/>
  <c r="E45"/>
  <c r="H45" s="1"/>
  <c r="D44"/>
  <c r="E44" s="1"/>
  <c r="H44" s="1"/>
  <c r="D43"/>
  <c r="E43" s="1"/>
  <c r="H43" s="1"/>
  <c r="D42"/>
  <c r="E42" s="1"/>
  <c r="H42" s="1"/>
  <c r="D41"/>
  <c r="E41"/>
  <c r="H41" s="1"/>
  <c r="D40"/>
  <c r="E40" s="1"/>
  <c r="H40" s="1"/>
  <c r="D39"/>
  <c r="E39" s="1"/>
  <c r="H39" s="1"/>
  <c r="D38"/>
  <c r="E38" s="1"/>
  <c r="H38" s="1"/>
  <c r="D37"/>
  <c r="E37"/>
  <c r="H37" s="1"/>
  <c r="A37"/>
  <c r="D36"/>
  <c r="E36" s="1"/>
  <c r="H36" s="1"/>
  <c r="A37" i="18"/>
  <c r="A38"/>
  <c r="A39"/>
  <c r="D79"/>
  <c r="D78"/>
  <c r="E78"/>
  <c r="H78"/>
  <c r="D77"/>
  <c r="D76"/>
  <c r="E76"/>
  <c r="H76"/>
  <c r="D75"/>
  <c r="D74"/>
  <c r="E74"/>
  <c r="H74"/>
  <c r="D73"/>
  <c r="D72"/>
  <c r="E72"/>
  <c r="H72"/>
  <c r="D71"/>
  <c r="D70"/>
  <c r="E70"/>
  <c r="H70"/>
  <c r="D69"/>
  <c r="D68"/>
  <c r="E68"/>
  <c r="H68"/>
  <c r="D67"/>
  <c r="D66"/>
  <c r="E66"/>
  <c r="H66"/>
  <c r="D65"/>
  <c r="D64"/>
  <c r="E64"/>
  <c r="H64"/>
  <c r="D63"/>
  <c r="D62"/>
  <c r="E62"/>
  <c r="H62"/>
  <c r="D61"/>
  <c r="D60"/>
  <c r="E60"/>
  <c r="H60"/>
  <c r="D59"/>
  <c r="D58"/>
  <c r="E58"/>
  <c r="H58"/>
  <c r="D57"/>
  <c r="D56"/>
  <c r="E56"/>
  <c r="H56"/>
  <c r="D55"/>
  <c r="D54"/>
  <c r="E54"/>
  <c r="H54"/>
  <c r="D53"/>
  <c r="D52"/>
  <c r="E52"/>
  <c r="H52"/>
  <c r="D51"/>
  <c r="D50"/>
  <c r="E50"/>
  <c r="H50"/>
  <c r="D49"/>
  <c r="E49"/>
  <c r="H49"/>
  <c r="D48"/>
  <c r="E48"/>
  <c r="H48"/>
  <c r="D47"/>
  <c r="E47"/>
  <c r="H47"/>
  <c r="D46"/>
  <c r="E46"/>
  <c r="H46"/>
  <c r="D45"/>
  <c r="E45"/>
  <c r="H45"/>
  <c r="D44"/>
  <c r="E44"/>
  <c r="H44"/>
  <c r="D43"/>
  <c r="E43"/>
  <c r="H43"/>
  <c r="D42"/>
  <c r="E42"/>
  <c r="H42"/>
  <c r="D41"/>
  <c r="E41"/>
  <c r="H41"/>
  <c r="D40"/>
  <c r="E40"/>
  <c r="H40"/>
  <c r="D39"/>
  <c r="E39"/>
  <c r="H39"/>
  <c r="D38"/>
  <c r="E38"/>
  <c r="H38"/>
  <c r="D37"/>
  <c r="E37"/>
  <c r="H37"/>
  <c r="D36"/>
  <c r="E36"/>
  <c r="H36"/>
  <c r="E51"/>
  <c r="H51"/>
  <c r="E53"/>
  <c r="H53"/>
  <c r="E55"/>
  <c r="H55"/>
  <c r="E57"/>
  <c r="H57"/>
  <c r="E59"/>
  <c r="H59"/>
  <c r="E61"/>
  <c r="H61"/>
  <c r="E63"/>
  <c r="H63"/>
  <c r="E65"/>
  <c r="H65"/>
  <c r="E67"/>
  <c r="H67"/>
  <c r="E69"/>
  <c r="H69"/>
  <c r="E71"/>
  <c r="H71"/>
  <c r="E73"/>
  <c r="H73"/>
  <c r="E75"/>
  <c r="H75"/>
  <c r="E77"/>
  <c r="H77"/>
  <c r="E79"/>
  <c r="H79"/>
  <c r="A40"/>
  <c r="A41"/>
  <c r="A42"/>
  <c r="A43"/>
  <c r="A44"/>
  <c r="A45"/>
  <c r="A46"/>
  <c r="A47"/>
  <c r="A48"/>
  <c r="A49"/>
  <c r="A50"/>
  <c r="A51"/>
  <c r="A52"/>
  <c r="A53"/>
  <c r="A54"/>
  <c r="A55"/>
  <c r="A56"/>
  <c r="A57"/>
  <c r="A58"/>
  <c r="A59"/>
  <c r="A60"/>
  <c r="A61"/>
  <c r="A62"/>
  <c r="A63"/>
  <c r="A64"/>
  <c r="A65"/>
  <c r="A66"/>
  <c r="A67"/>
  <c r="A68"/>
  <c r="A69"/>
  <c r="A70"/>
  <c r="A71"/>
  <c r="A72"/>
  <c r="A73"/>
  <c r="A74"/>
  <c r="A75"/>
  <c r="A76"/>
  <c r="A77"/>
  <c r="A78"/>
  <c r="A79"/>
  <c r="A38" i="23"/>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F74" i="18" l="1"/>
  <c r="G74" s="1"/>
  <c r="I74" s="1"/>
  <c r="F73"/>
  <c r="G73" s="1"/>
  <c r="I73" s="1"/>
  <c r="F72"/>
  <c r="G72" s="1"/>
  <c r="I72" s="1"/>
  <c r="F77" i="23"/>
  <c r="G77" s="1"/>
  <c r="I77" s="1"/>
  <c r="A78"/>
  <c r="A79" s="1"/>
  <c r="F36" i="18"/>
  <c r="G36" s="1"/>
  <c r="I36" s="1"/>
  <c r="F61" i="23"/>
  <c r="G61" s="1"/>
  <c r="I61" s="1"/>
  <c r="F45"/>
  <c r="G45" s="1"/>
  <c r="I45" s="1"/>
  <c r="F37"/>
  <c r="G37" s="1"/>
  <c r="I37" s="1"/>
  <c r="F53"/>
  <c r="G53" s="1"/>
  <c r="I53" s="1"/>
  <c r="F69"/>
  <c r="G69" s="1"/>
  <c r="I69" s="1"/>
  <c r="F41"/>
  <c r="G41" s="1"/>
  <c r="I41" s="1"/>
  <c r="F49"/>
  <c r="G49" s="1"/>
  <c r="I49" s="1"/>
  <c r="F57"/>
  <c r="G57" s="1"/>
  <c r="I57" s="1"/>
  <c r="F65"/>
  <c r="G65" s="1"/>
  <c r="I65" s="1"/>
  <c r="F73"/>
  <c r="G73" s="1"/>
  <c r="I73" s="1"/>
  <c r="F58" i="18"/>
  <c r="G58" s="1"/>
  <c r="I58" s="1"/>
  <c r="F57"/>
  <c r="G57" s="1"/>
  <c r="I57" s="1"/>
  <c r="F56"/>
  <c r="G56" s="1"/>
  <c r="I56" s="1"/>
  <c r="F37"/>
  <c r="G37" s="1"/>
  <c r="I37" s="1"/>
  <c r="F66"/>
  <c r="G66" s="1"/>
  <c r="I66" s="1"/>
  <c r="F65"/>
  <c r="G65" s="1"/>
  <c r="I65" s="1"/>
  <c r="F64"/>
  <c r="G64" s="1"/>
  <c r="I64" s="1"/>
  <c r="F50"/>
  <c r="G50" s="1"/>
  <c r="I50" s="1"/>
  <c r="F49"/>
  <c r="G49" s="1"/>
  <c r="I49" s="1"/>
  <c r="F48"/>
  <c r="G48" s="1"/>
  <c r="I48" s="1"/>
  <c r="F39" i="23"/>
  <c r="G39" s="1"/>
  <c r="I39" s="1"/>
  <c r="F43"/>
  <c r="G43" s="1"/>
  <c r="I43" s="1"/>
  <c r="F47"/>
  <c r="G47" s="1"/>
  <c r="I47" s="1"/>
  <c r="F51"/>
  <c r="G51" s="1"/>
  <c r="I51" s="1"/>
  <c r="F55"/>
  <c r="G55" s="1"/>
  <c r="I55" s="1"/>
  <c r="F59"/>
  <c r="G59" s="1"/>
  <c r="I59" s="1"/>
  <c r="F63"/>
  <c r="G63" s="1"/>
  <c r="I63" s="1"/>
  <c r="F67"/>
  <c r="G67" s="1"/>
  <c r="I67" s="1"/>
  <c r="F71"/>
  <c r="G71" s="1"/>
  <c r="I71" s="1"/>
  <c r="F75"/>
  <c r="G75" s="1"/>
  <c r="I75" s="1"/>
  <c r="F79"/>
  <c r="G79" s="1"/>
  <c r="I79" s="1"/>
  <c r="F36"/>
  <c r="G36" s="1"/>
  <c r="I36" s="1"/>
  <c r="F38"/>
  <c r="G38" s="1"/>
  <c r="I38" s="1"/>
  <c r="F40"/>
  <c r="G40" s="1"/>
  <c r="I40" s="1"/>
  <c r="F42"/>
  <c r="G42" s="1"/>
  <c r="I42" s="1"/>
  <c r="F44"/>
  <c r="G44" s="1"/>
  <c r="I44" s="1"/>
  <c r="F46"/>
  <c r="G46" s="1"/>
  <c r="I46" s="1"/>
  <c r="F48"/>
  <c r="G48" s="1"/>
  <c r="I48" s="1"/>
  <c r="F50"/>
  <c r="G50" s="1"/>
  <c r="I50" s="1"/>
  <c r="F52"/>
  <c r="G52" s="1"/>
  <c r="I52" s="1"/>
  <c r="F54"/>
  <c r="G54" s="1"/>
  <c r="I54" s="1"/>
  <c r="F56"/>
  <c r="G56" s="1"/>
  <c r="I56" s="1"/>
  <c r="F58"/>
  <c r="G58" s="1"/>
  <c r="I58" s="1"/>
  <c r="F60"/>
  <c r="G60" s="1"/>
  <c r="I60" s="1"/>
  <c r="F62"/>
  <c r="G62" s="1"/>
  <c r="I62" s="1"/>
  <c r="F64"/>
  <c r="G64" s="1"/>
  <c r="I64" s="1"/>
  <c r="F66"/>
  <c r="G66" s="1"/>
  <c r="I66" s="1"/>
  <c r="F68"/>
  <c r="G68" s="1"/>
  <c r="I68" s="1"/>
  <c r="F70"/>
  <c r="G70" s="1"/>
  <c r="I70" s="1"/>
  <c r="F72"/>
  <c r="G72" s="1"/>
  <c r="I72" s="1"/>
  <c r="F74"/>
  <c r="G74" s="1"/>
  <c r="I74" s="1"/>
  <c r="F76"/>
  <c r="G76" s="1"/>
  <c r="I76" s="1"/>
  <c r="F79" i="18"/>
  <c r="G79" s="1"/>
  <c r="I79" s="1"/>
  <c r="F77"/>
  <c r="G77" s="1"/>
  <c r="I77" s="1"/>
  <c r="F76"/>
  <c r="G76" s="1"/>
  <c r="I76" s="1"/>
  <c r="F70"/>
  <c r="G70" s="1"/>
  <c r="I70" s="1"/>
  <c r="F69"/>
  <c r="G69" s="1"/>
  <c r="I69" s="1"/>
  <c r="F68"/>
  <c r="G68" s="1"/>
  <c r="I68" s="1"/>
  <c r="F62"/>
  <c r="G62" s="1"/>
  <c r="I62" s="1"/>
  <c r="F61"/>
  <c r="G61" s="1"/>
  <c r="I61" s="1"/>
  <c r="F60"/>
  <c r="G60" s="1"/>
  <c r="I60" s="1"/>
  <c r="F54"/>
  <c r="G54" s="1"/>
  <c r="I54" s="1"/>
  <c r="F53"/>
  <c r="G53" s="1"/>
  <c r="I53" s="1"/>
  <c r="F52"/>
  <c r="G52" s="1"/>
  <c r="I52" s="1"/>
  <c r="F46"/>
  <c r="G46" s="1"/>
  <c r="I46" s="1"/>
  <c r="F45"/>
  <c r="G45" s="1"/>
  <c r="I45" s="1"/>
  <c r="F44"/>
  <c r="G44" s="1"/>
  <c r="I44" s="1"/>
  <c r="F40"/>
  <c r="G40" s="1"/>
  <c r="I40" s="1"/>
  <c r="F39"/>
  <c r="G39" s="1"/>
  <c r="I39" s="1"/>
  <c r="F78"/>
  <c r="G78" s="1"/>
  <c r="I78" s="1"/>
  <c r="F75"/>
  <c r="G75" s="1"/>
  <c r="I75" s="1"/>
  <c r="F71"/>
  <c r="G71" s="1"/>
  <c r="I71" s="1"/>
  <c r="F67"/>
  <c r="G67" s="1"/>
  <c r="I67" s="1"/>
  <c r="F63"/>
  <c r="G63" s="1"/>
  <c r="I63" s="1"/>
  <c r="F59"/>
  <c r="G59" s="1"/>
  <c r="I59" s="1"/>
  <c r="F55"/>
  <c r="G55" s="1"/>
  <c r="I55" s="1"/>
  <c r="F51"/>
  <c r="G51" s="1"/>
  <c r="I51" s="1"/>
  <c r="F47"/>
  <c r="G47" s="1"/>
  <c r="I47" s="1"/>
  <c r="F43"/>
  <c r="G43" s="1"/>
  <c r="I43" s="1"/>
  <c r="F42"/>
  <c r="G42" s="1"/>
  <c r="I42" s="1"/>
  <c r="F38"/>
  <c r="G38" s="1"/>
  <c r="I38" s="1"/>
  <c r="F35"/>
  <c r="G35" s="1"/>
  <c r="F78" i="23" l="1"/>
  <c r="G78" s="1"/>
  <c r="I78" s="1"/>
  <c r="D18" s="1"/>
  <c r="D21" s="1"/>
  <c r="D18" i="18"/>
  <c r="D21" s="1"/>
</calcChain>
</file>

<file path=xl/comments1.xml><?xml version="1.0" encoding="utf-8"?>
<comments xmlns="http://schemas.openxmlformats.org/spreadsheetml/2006/main">
  <authors>
    <author>Emilia Vynnycky</author>
  </authors>
  <commentList>
    <comment ref="D14" authorId="0">
      <text>
        <r>
          <rPr>
            <b/>
            <sz val="9"/>
            <color indexed="15"/>
            <rFont val="Tahoma"/>
            <family val="2"/>
          </rPr>
          <t>Introduction to Infectious Disease Modelling (E Vynnycky and R White):</t>
        </r>
        <r>
          <rPr>
            <b/>
            <sz val="9"/>
            <color indexed="10"/>
            <rFont val="Tahoma"/>
            <family val="2"/>
          </rPr>
          <t xml:space="preserve">
</t>
        </r>
        <r>
          <rPr>
            <b/>
            <sz val="9"/>
            <color indexed="9"/>
            <rFont val="Tahoma"/>
            <family val="2"/>
          </rPr>
          <t xml:space="preserve">
</t>
        </r>
        <r>
          <rPr>
            <sz val="10"/>
            <color indexed="9"/>
            <rFont val="Tahoma"/>
            <family val="2"/>
          </rPr>
          <t>This cell has been assigned the name foi_pyr_matfix.  If any cell has an equation which uses this cell, the name “foi_pyr_matfix”, rather than the location of the cell, can be used in that equation, (see, for example, the equation in cell F36).</t>
        </r>
        <r>
          <rPr>
            <sz val="9"/>
            <color indexed="9"/>
            <rFont val="Tahoma"/>
            <family val="2"/>
          </rPr>
          <t xml:space="preserve">
</t>
        </r>
      </text>
    </comment>
    <comment ref="D18" authorId="0">
      <text>
        <r>
          <rPr>
            <b/>
            <sz val="9"/>
            <color indexed="15"/>
            <rFont val="Tahoma"/>
            <family val="2"/>
          </rPr>
          <t>Introduction to Infectious Disease Modelling (E Vynnycky and R White):</t>
        </r>
        <r>
          <rPr>
            <sz val="9"/>
            <color indexed="9"/>
            <rFont val="Tahoma"/>
            <family val="2"/>
          </rPr>
          <t xml:space="preserve">
</t>
        </r>
        <r>
          <rPr>
            <sz val="10"/>
            <color indexed="9"/>
            <rFont val="Tahoma"/>
            <family val="2"/>
          </rPr>
          <t>This equation is the loglikelihood deviance, describing the goodness of fit of the model to the dataset.   It is calculated using expressions in columns H and I, which contain the contributions to the loglikelihood of the perfect ("saturated") model and the catalytic model.  See section 4.2.5 of the book for further details.
Note that for this model, the data point for 0.5 year olds is excluded from calculations of the deviance, since it leads to a negative contribution to the deviance if the duration of maternal immunity is 6 months  (which is statistically unacceptable)</t>
        </r>
      </text>
    </comment>
    <comment ref="D21" authorId="0">
      <text>
        <r>
          <rPr>
            <b/>
            <sz val="9"/>
            <color indexed="15"/>
            <rFont val="Tahoma"/>
            <family val="2"/>
          </rPr>
          <t>Introduction to Infectious Disease Modelling (E Vynnycky and R White):</t>
        </r>
        <r>
          <rPr>
            <b/>
            <sz val="9"/>
            <color indexed="9"/>
            <rFont val="Tahoma"/>
            <family val="2"/>
          </rPr>
          <t xml:space="preserve">
</t>
        </r>
        <r>
          <rPr>
            <sz val="10"/>
            <color indexed="9"/>
            <rFont val="Tahoma"/>
            <family val="2"/>
          </rPr>
          <t xml:space="preserve">This cell is used in calculations of the 95% confidence intervals for the force of infection.  The upper and lower 95% confidence limit are taken as the values for the force of infection (in cell D14) which lead to a deviance which differs by 3.84 from the optimal deviance.  Click on the button below to activate the macro; the code for the macro can be accessed through the Macro button, accessible through the view option in the toolbar.  </t>
        </r>
      </text>
    </comment>
    <comment ref="I22" authorId="0">
      <text>
        <r>
          <rPr>
            <b/>
            <sz val="9"/>
            <color indexed="15"/>
            <rFont val="Tahoma"/>
            <family val="2"/>
          </rPr>
          <t>Introduction to Infectious Disease Modelling (E Vynnycky and R White):</t>
        </r>
        <r>
          <rPr>
            <sz val="9"/>
            <color indexed="81"/>
            <rFont val="Tahoma"/>
            <family val="2"/>
          </rPr>
          <t xml:space="preserve">
</t>
        </r>
        <r>
          <rPr>
            <sz val="10"/>
            <color indexed="9"/>
            <rFont val="Tahoma"/>
            <family val="2"/>
          </rPr>
          <t xml:space="preserve">
This macro has been set up to point to specific locations in the spreadsheet where it expects to find the force of infection and the deviance.  Consequently the macro will not work if the cell locations are changed from their original settings. Click on the button below to activate the macro.  See the comment to cell D21 and the code for the macro (via the Macro button, accessible through the view option in the toolbar) for details of how the macro works.</t>
        </r>
      </text>
    </comment>
  </commentList>
</comments>
</file>

<file path=xl/comments2.xml><?xml version="1.0" encoding="utf-8"?>
<comments xmlns="http://schemas.openxmlformats.org/spreadsheetml/2006/main">
  <authors>
    <author>Emilia Vynnycky</author>
  </authors>
  <commentList>
    <comment ref="D14" authorId="0">
      <text>
        <r>
          <rPr>
            <b/>
            <sz val="9"/>
            <color indexed="15"/>
            <rFont val="Tahoma"/>
            <family val="2"/>
          </rPr>
          <t>Introduction to Infectious Disease Modelling (E Vynnycky and R White):</t>
        </r>
        <r>
          <rPr>
            <b/>
            <sz val="9"/>
            <color indexed="10"/>
            <rFont val="Tahoma"/>
            <family val="2"/>
          </rPr>
          <t xml:space="preserve">
</t>
        </r>
        <r>
          <rPr>
            <b/>
            <sz val="9"/>
            <color indexed="9"/>
            <rFont val="Tahoma"/>
            <family val="2"/>
          </rPr>
          <t xml:space="preserve">
</t>
        </r>
        <r>
          <rPr>
            <sz val="10"/>
            <color indexed="9"/>
            <rFont val="Tahoma"/>
            <family val="2"/>
          </rPr>
          <t>This cell has been assigned the name foi_pyr_matwane.  If any cell has an equation which uses this cell, the name “foi_pyr_matwane”, rather than the location of the cell, can be used in that equation, (see, for example, the equation in cell F36).</t>
        </r>
        <r>
          <rPr>
            <sz val="9"/>
            <color indexed="9"/>
            <rFont val="Tahoma"/>
            <family val="2"/>
          </rPr>
          <t xml:space="preserve">
</t>
        </r>
      </text>
    </comment>
    <comment ref="D18" authorId="0">
      <text>
        <r>
          <rPr>
            <b/>
            <sz val="9"/>
            <color indexed="15"/>
            <rFont val="Tahoma"/>
            <family val="2"/>
          </rPr>
          <t>Introduction to Infectious Disease Modelling (E Vynnycky and R White):</t>
        </r>
        <r>
          <rPr>
            <sz val="9"/>
            <color indexed="9"/>
            <rFont val="Tahoma"/>
            <family val="2"/>
          </rPr>
          <t xml:space="preserve">
</t>
        </r>
        <r>
          <rPr>
            <sz val="10"/>
            <color indexed="9"/>
            <rFont val="Tahoma"/>
            <family val="2"/>
          </rPr>
          <t>This equation is the loglikelihood deviance, describing the goodness of fit of the model to the dataset.   It is calculated using expressions in columns H and I, which contain the contributions to the loglikelihood of the perfect ("saturated") model and the catalytic model.  See section 4.2.5 of the book for further details.</t>
        </r>
      </text>
    </comment>
    <comment ref="D21" authorId="0">
      <text>
        <r>
          <rPr>
            <b/>
            <sz val="9"/>
            <color indexed="15"/>
            <rFont val="Tahoma"/>
            <family val="2"/>
          </rPr>
          <t>Introduction to Infectious Disease Modelling (E Vynnycky and R White):</t>
        </r>
        <r>
          <rPr>
            <b/>
            <sz val="9"/>
            <color indexed="9"/>
            <rFont val="Tahoma"/>
            <family val="2"/>
          </rPr>
          <t xml:space="preserve">
</t>
        </r>
        <r>
          <rPr>
            <sz val="10"/>
            <color indexed="9"/>
            <rFont val="Tahoma"/>
            <family val="2"/>
          </rPr>
          <t xml:space="preserve">This cell is used in calculations of the 95% confidence intervals for the force of infection.  The upper and lower 95% confidence limit are taken as the values for the force of infection (in cell D14) which lead to a deviance which differs by 3.84 from the optimal deviance. Click on the button below to activate the macro; the code for the macro can be accessed through the Macro button, accessible through the view option in the toolbar.  </t>
        </r>
      </text>
    </comment>
    <comment ref="I22" authorId="0">
      <text>
        <r>
          <rPr>
            <b/>
            <sz val="9"/>
            <color indexed="15"/>
            <rFont val="Tahoma"/>
            <family val="2"/>
          </rPr>
          <t>Introduction to Infectious Disease Modelling (E Vynnycky and R White):</t>
        </r>
        <r>
          <rPr>
            <sz val="9"/>
            <color indexed="81"/>
            <rFont val="Tahoma"/>
            <family val="2"/>
          </rPr>
          <t xml:space="preserve">
</t>
        </r>
        <r>
          <rPr>
            <sz val="10"/>
            <color indexed="9"/>
            <rFont val="Tahoma"/>
            <family val="2"/>
          </rPr>
          <t xml:space="preserve">
This macro has been set up to point to specific locations in the spreadsheet where it expects to find the force of infection and the deviance.  Consequently the macro will not work if the cell locations are changed from their original settings. Click on the button below to activate the macro.  See the comment to cell D21 and the code for the macro (via the Macro button, accessible through the view option in the toolbar) for details of how the macro works.</t>
        </r>
      </text>
    </comment>
  </commentList>
</comments>
</file>

<file path=xl/sharedStrings.xml><?xml version="1.0" encoding="utf-8"?>
<sst xmlns="http://schemas.openxmlformats.org/spreadsheetml/2006/main" count="76" uniqueCount="41">
  <si>
    <t>Definition</t>
  </si>
  <si>
    <t>Value</t>
  </si>
  <si>
    <t>95% CI</t>
  </si>
  <si>
    <t>lower</t>
  </si>
  <si>
    <t>upper</t>
  </si>
  <si>
    <t xml:space="preserve">Contribution to loglikelihood </t>
  </si>
  <si>
    <t>Age</t>
  </si>
  <si>
    <t>Number</t>
  </si>
  <si>
    <t>Proportion</t>
  </si>
  <si>
    <t>from data point to:</t>
  </si>
  <si>
    <t>(mid point)</t>
  </si>
  <si>
    <t>positive</t>
  </si>
  <si>
    <t>negative</t>
  </si>
  <si>
    <t xml:space="preserve">total </t>
  </si>
  <si>
    <t xml:space="preserve">saturated </t>
  </si>
  <si>
    <t xml:space="preserve">catalytic </t>
  </si>
  <si>
    <t>model</t>
  </si>
  <si>
    <t>Observed</t>
  </si>
  <si>
    <t>susceptible</t>
  </si>
  <si>
    <t xml:space="preserve"> antibodies in the UK (Farrington (1990))</t>
  </si>
  <si>
    <r>
      <t>Goodness of fit</t>
    </r>
    <r>
      <rPr>
        <sz val="10"/>
        <rFont val="Arial"/>
        <family val="2"/>
      </rPr>
      <t xml:space="preserve"> (loglikelihood deviance)</t>
    </r>
  </si>
  <si>
    <t>Best-fitting</t>
  </si>
  <si>
    <t>Summary of force of infection estimates:</t>
  </si>
  <si>
    <t>Difference between the optimal deviance and the deviance resulting from the value for the force of infection in cell D14:</t>
  </si>
  <si>
    <t>foi_pyr_matfix</t>
  </si>
  <si>
    <t>durn_mat</t>
  </si>
  <si>
    <t>Duration of maternal immunity (yrs)</t>
  </si>
  <si>
    <t>foi_pyr_matwane</t>
  </si>
  <si>
    <t>Optimal deviance:</t>
  </si>
  <si>
    <t>Average duration of maternal immunity (yrs)</t>
  </si>
  <si>
    <t>ave_durn_mat</t>
  </si>
  <si>
    <t>mat_loss_rate</t>
  </si>
  <si>
    <t>Data on the proportion of individuals positive for rubella</t>
  </si>
  <si>
    <t>Name used in spreadsheet</t>
  </si>
  <si>
    <t>Model prediction of</t>
  </si>
  <si>
    <t>the proportion:</t>
  </si>
  <si>
    <t xml:space="preserve">(ever) </t>
  </si>
  <si>
    <t>infected</t>
  </si>
  <si>
    <r>
      <t>Annual force of infection (λ</t>
    </r>
    <r>
      <rPr>
        <sz val="11"/>
        <rFont val="Arial"/>
        <family val="2"/>
      </rPr>
      <t>)</t>
    </r>
  </si>
  <si>
    <t>Annual force of infection (λ)</t>
  </si>
  <si>
    <t>Annual rate at which maternal immunity is lost</t>
  </si>
</sst>
</file>

<file path=xl/styles.xml><?xml version="1.0" encoding="utf-8"?>
<styleSheet xmlns="http://schemas.openxmlformats.org/spreadsheetml/2006/main">
  <fonts count="22">
    <font>
      <sz val="10"/>
      <name val="Arial"/>
    </font>
    <font>
      <b/>
      <sz val="10"/>
      <name val="Arial"/>
      <family val="2"/>
    </font>
    <font>
      <b/>
      <sz val="10"/>
      <color indexed="10"/>
      <name val="Arial"/>
      <family val="2"/>
    </font>
    <font>
      <sz val="10"/>
      <name val="Arial"/>
      <family val="2"/>
    </font>
    <font>
      <b/>
      <sz val="10"/>
      <color indexed="22"/>
      <name val="Arial"/>
      <family val="2"/>
    </font>
    <font>
      <sz val="10"/>
      <color indexed="22"/>
      <name val="Arial"/>
      <family val="2"/>
    </font>
    <font>
      <b/>
      <sz val="10"/>
      <color indexed="8"/>
      <name val="Arial"/>
      <family val="2"/>
    </font>
    <font>
      <sz val="10"/>
      <color indexed="8"/>
      <name val="Arial"/>
      <family val="2"/>
    </font>
    <font>
      <sz val="10"/>
      <color indexed="9"/>
      <name val="Arial"/>
      <family val="2"/>
    </font>
    <font>
      <b/>
      <sz val="10"/>
      <color indexed="9"/>
      <name val="Arial"/>
      <family val="2"/>
    </font>
    <font>
      <b/>
      <sz val="10"/>
      <color indexed="18"/>
      <name val="Arial"/>
      <family val="2"/>
    </font>
    <font>
      <sz val="10"/>
      <color indexed="18"/>
      <name val="Arial"/>
      <family val="2"/>
    </font>
    <font>
      <b/>
      <sz val="9"/>
      <color indexed="9"/>
      <name val="Tahoma"/>
      <family val="2"/>
    </font>
    <font>
      <sz val="9"/>
      <color indexed="9"/>
      <name val="Tahoma"/>
      <family val="2"/>
    </font>
    <font>
      <b/>
      <sz val="9"/>
      <color indexed="10"/>
      <name val="Tahoma"/>
      <family val="2"/>
    </font>
    <font>
      <b/>
      <sz val="9"/>
      <color indexed="15"/>
      <name val="Tahoma"/>
      <family val="2"/>
    </font>
    <font>
      <sz val="10"/>
      <color indexed="9"/>
      <name val="Tahoma"/>
      <family val="2"/>
    </font>
    <font>
      <sz val="9"/>
      <color indexed="81"/>
      <name val="Tahoma"/>
      <family val="2"/>
    </font>
    <font>
      <sz val="10"/>
      <color theme="1"/>
      <name val="Arial"/>
      <family val="2"/>
    </font>
    <font>
      <b/>
      <sz val="10"/>
      <color theme="1"/>
      <name val="Arial"/>
      <family val="2"/>
    </font>
    <font>
      <b/>
      <sz val="10"/>
      <color rgb="FFFF0000"/>
      <name val="Arial"/>
      <family val="2"/>
    </font>
    <font>
      <sz val="11"/>
      <name val="Arial"/>
      <family val="2"/>
    </font>
  </fonts>
  <fills count="9">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rgb="FFFF00FF"/>
        <bgColor indexed="64"/>
      </patternFill>
    </fill>
    <fill>
      <patternFill patternType="solid">
        <fgColor rgb="FF00FFFF"/>
        <bgColor indexed="64"/>
      </patternFill>
    </fill>
    <fill>
      <patternFill patternType="solid">
        <fgColor rgb="FFC0C0C0"/>
        <bgColor indexed="64"/>
      </patternFill>
    </fill>
    <fill>
      <patternFill patternType="solid">
        <fgColor rgb="FF009999"/>
        <bgColor indexed="64"/>
      </patternFill>
    </fill>
  </fills>
  <borders count="12">
    <border>
      <left/>
      <right/>
      <top/>
      <bottom/>
      <diagonal/>
    </border>
    <border>
      <left style="medium">
        <color indexed="10"/>
      </left>
      <right/>
      <top style="medium">
        <color indexed="10"/>
      </top>
      <bottom/>
      <diagonal/>
    </border>
    <border>
      <left/>
      <right/>
      <top style="medium">
        <color indexed="10"/>
      </top>
      <bottom/>
      <diagonal/>
    </border>
    <border>
      <left style="medium">
        <color indexed="10"/>
      </left>
      <right/>
      <top/>
      <bottom/>
      <diagonal/>
    </border>
    <border>
      <left style="medium">
        <color indexed="10"/>
      </left>
      <right/>
      <top/>
      <bottom style="medium">
        <color indexed="10"/>
      </bottom>
      <diagonal/>
    </border>
    <border>
      <left/>
      <right/>
      <top/>
      <bottom style="medium">
        <color indexed="10"/>
      </bottom>
      <diagonal/>
    </border>
    <border>
      <left/>
      <right/>
      <top/>
      <bottom style="medium">
        <color indexed="64"/>
      </bottom>
      <diagonal/>
    </border>
    <border>
      <left/>
      <right/>
      <top style="medium">
        <color rgb="FFFF0000"/>
      </top>
      <bottom/>
      <diagonal/>
    </border>
    <border>
      <left/>
      <right style="medium">
        <color rgb="FFFF0000"/>
      </right>
      <top style="medium">
        <color rgb="FFFF0000"/>
      </top>
      <bottom/>
      <diagonal/>
    </border>
    <border>
      <left/>
      <right style="medium">
        <color rgb="FFFF0000"/>
      </right>
      <top/>
      <bottom/>
      <diagonal/>
    </border>
    <border>
      <left/>
      <right/>
      <top/>
      <bottom style="medium">
        <color rgb="FFFF0000"/>
      </bottom>
      <diagonal/>
    </border>
    <border>
      <left/>
      <right style="medium">
        <color rgb="FFFF0000"/>
      </right>
      <top/>
      <bottom style="medium">
        <color rgb="FFFF0000"/>
      </bottom>
      <diagonal/>
    </border>
  </borders>
  <cellStyleXfs count="1">
    <xf numFmtId="0" fontId="0" fillId="0" borderId="0"/>
  </cellStyleXfs>
  <cellXfs count="67">
    <xf numFmtId="0" fontId="0" fillId="0" borderId="0" xfId="0"/>
    <xf numFmtId="0" fontId="0" fillId="0" borderId="0" xfId="0" applyFill="1"/>
    <xf numFmtId="0" fontId="1" fillId="2" borderId="0" xfId="0" applyFont="1" applyFill="1"/>
    <xf numFmtId="0" fontId="0" fillId="2" borderId="0" xfId="0" applyFill="1"/>
    <xf numFmtId="0" fontId="2" fillId="2" borderId="0" xfId="0" applyFont="1" applyFill="1"/>
    <xf numFmtId="0" fontId="5" fillId="2" borderId="0" xfId="0" applyFont="1" applyFill="1"/>
    <xf numFmtId="0" fontId="6" fillId="2" borderId="1" xfId="0" applyFont="1" applyFill="1" applyBorder="1"/>
    <xf numFmtId="0" fontId="6" fillId="2" borderId="2" xfId="0" applyFont="1" applyFill="1" applyBorder="1"/>
    <xf numFmtId="0" fontId="6" fillId="2" borderId="3" xfId="0" applyFont="1" applyFill="1" applyBorder="1"/>
    <xf numFmtId="0" fontId="6" fillId="2" borderId="0" xfId="0" applyFont="1" applyFill="1" applyBorder="1"/>
    <xf numFmtId="0" fontId="6" fillId="2" borderId="4" xfId="0" applyFont="1" applyFill="1" applyBorder="1"/>
    <xf numFmtId="0" fontId="6" fillId="2" borderId="5" xfId="0" applyFont="1" applyFill="1" applyBorder="1"/>
    <xf numFmtId="0" fontId="7" fillId="2" borderId="0" xfId="0" applyFont="1" applyFill="1" applyBorder="1"/>
    <xf numFmtId="0" fontId="1" fillId="2" borderId="0" xfId="0" applyFont="1" applyFill="1" applyAlignment="1">
      <alignment horizontal="center"/>
    </xf>
    <xf numFmtId="0" fontId="1" fillId="3" borderId="0" xfId="0" applyFont="1" applyFill="1" applyAlignment="1">
      <alignment horizontal="center"/>
    </xf>
    <xf numFmtId="0" fontId="3" fillId="3" borderId="0" xfId="0" applyFont="1" applyFill="1" applyAlignment="1">
      <alignment horizontal="center"/>
    </xf>
    <xf numFmtId="0" fontId="0" fillId="3" borderId="0" xfId="0" applyFill="1"/>
    <xf numFmtId="0" fontId="6" fillId="2" borderId="2" xfId="0" applyFont="1" applyFill="1" applyBorder="1" applyAlignment="1">
      <alignment horizontal="center"/>
    </xf>
    <xf numFmtId="0" fontId="3" fillId="4" borderId="0" xfId="0" applyFont="1" applyFill="1"/>
    <xf numFmtId="0" fontId="3" fillId="4" borderId="0" xfId="0" applyFont="1" applyFill="1" applyAlignment="1">
      <alignment horizontal="center"/>
    </xf>
    <xf numFmtId="0" fontId="0" fillId="4" borderId="0" xfId="0" applyFill="1"/>
    <xf numFmtId="0" fontId="1" fillId="4" borderId="0" xfId="0" applyFont="1" applyFill="1"/>
    <xf numFmtId="0" fontId="9" fillId="0" borderId="0" xfId="0" applyFont="1" applyFill="1"/>
    <xf numFmtId="0" fontId="10" fillId="0" borderId="0" xfId="0" applyFont="1" applyFill="1"/>
    <xf numFmtId="0" fontId="8" fillId="0" borderId="0" xfId="0" applyFont="1" applyFill="1"/>
    <xf numFmtId="0" fontId="11" fillId="0" borderId="0" xfId="0" applyFont="1" applyFill="1"/>
    <xf numFmtId="0" fontId="4" fillId="4" borderId="0" xfId="0" applyFont="1" applyFill="1" applyBorder="1"/>
    <xf numFmtId="0" fontId="6" fillId="4" borderId="0" xfId="0" applyFont="1" applyFill="1"/>
    <xf numFmtId="0" fontId="6" fillId="4" borderId="0" xfId="0" applyFont="1" applyFill="1" applyBorder="1"/>
    <xf numFmtId="0" fontId="6" fillId="5" borderId="0" xfId="0" applyFont="1" applyFill="1" applyBorder="1"/>
    <xf numFmtId="0" fontId="1" fillId="5" borderId="0" xfId="0" applyFont="1" applyFill="1"/>
    <xf numFmtId="0" fontId="1" fillId="5" borderId="0" xfId="0" applyFont="1" applyFill="1" applyAlignment="1">
      <alignment horizontal="center"/>
    </xf>
    <xf numFmtId="0" fontId="1" fillId="5" borderId="0" xfId="0" quotePrefix="1" applyFont="1" applyFill="1"/>
    <xf numFmtId="0" fontId="0" fillId="6" borderId="0" xfId="0" applyFill="1"/>
    <xf numFmtId="0" fontId="0" fillId="7" borderId="0" xfId="0" applyFill="1"/>
    <xf numFmtId="0" fontId="18" fillId="2" borderId="0" xfId="0" applyFont="1" applyFill="1"/>
    <xf numFmtId="0" fontId="1" fillId="4" borderId="0" xfId="0" applyFont="1" applyFill="1" applyAlignment="1">
      <alignment horizontal="center"/>
    </xf>
    <xf numFmtId="0" fontId="3" fillId="2" borderId="0" xfId="0" applyFont="1" applyFill="1"/>
    <xf numFmtId="0" fontId="19" fillId="2" borderId="0" xfId="0" applyFont="1" applyFill="1"/>
    <xf numFmtId="0" fontId="7" fillId="2" borderId="5" xfId="0" applyFont="1" applyFill="1" applyBorder="1"/>
    <xf numFmtId="0" fontId="0" fillId="2" borderId="0" xfId="0" applyFill="1" applyBorder="1"/>
    <xf numFmtId="0" fontId="0" fillId="2" borderId="7" xfId="0" applyFill="1" applyBorder="1"/>
    <xf numFmtId="0" fontId="0" fillId="2" borderId="8" xfId="0" applyFill="1" applyBorder="1"/>
    <xf numFmtId="0" fontId="0" fillId="2" borderId="9" xfId="0" applyFill="1" applyBorder="1"/>
    <xf numFmtId="0" fontId="0" fillId="2" borderId="10" xfId="0" applyFill="1" applyBorder="1"/>
    <xf numFmtId="0" fontId="0" fillId="2" borderId="11" xfId="0" applyFill="1" applyBorder="1"/>
    <xf numFmtId="0" fontId="20" fillId="2" borderId="0" xfId="0" applyFont="1" applyFill="1"/>
    <xf numFmtId="0" fontId="6" fillId="2" borderId="2" xfId="0" applyFont="1" applyFill="1" applyBorder="1" applyAlignment="1">
      <alignment horizontal="center"/>
    </xf>
    <xf numFmtId="9" fontId="0" fillId="0" borderId="0" xfId="0" applyNumberFormat="1" applyFill="1"/>
    <xf numFmtId="0" fontId="3" fillId="0" borderId="0" xfId="0" applyFont="1" applyFill="1"/>
    <xf numFmtId="0" fontId="1" fillId="0" borderId="0" xfId="0" applyFont="1" applyFill="1"/>
    <xf numFmtId="0" fontId="6" fillId="5" borderId="0" xfId="0" applyFont="1" applyFill="1" applyBorder="1" applyAlignment="1">
      <alignment horizontal="center"/>
    </xf>
    <xf numFmtId="0" fontId="1" fillId="4" borderId="0" xfId="0" applyFont="1" applyFill="1" applyAlignment="1">
      <alignment horizontal="center"/>
    </xf>
    <xf numFmtId="0" fontId="1" fillId="6" borderId="0" xfId="0" applyFont="1" applyFill="1"/>
    <xf numFmtId="0" fontId="1" fillId="6" borderId="0" xfId="0" applyFont="1" applyFill="1" applyAlignment="1">
      <alignment horizontal="center"/>
    </xf>
    <xf numFmtId="0" fontId="3" fillId="6" borderId="0" xfId="0" applyFont="1" applyFill="1" applyAlignment="1">
      <alignment horizontal="left" indent="4"/>
    </xf>
    <xf numFmtId="0" fontId="3" fillId="6" borderId="0" xfId="0" applyFont="1" applyFill="1"/>
    <xf numFmtId="0" fontId="2" fillId="6" borderId="0" xfId="0" applyFont="1" applyFill="1"/>
    <xf numFmtId="0" fontId="3" fillId="6" borderId="0" xfId="0" applyFont="1" applyFill="1" applyAlignment="1">
      <alignment horizontal="center"/>
    </xf>
    <xf numFmtId="0" fontId="3" fillId="6" borderId="0" xfId="0" applyFont="1" applyFill="1" applyAlignment="1">
      <alignment horizontal="left" indent="2"/>
    </xf>
    <xf numFmtId="0" fontId="3" fillId="6" borderId="0" xfId="0" applyFont="1" applyFill="1" applyAlignment="1">
      <alignment horizontal="left"/>
    </xf>
    <xf numFmtId="0" fontId="0" fillId="8" borderId="0" xfId="0" applyFill="1"/>
    <xf numFmtId="0" fontId="6" fillId="2" borderId="2" xfId="0" applyFont="1" applyFill="1" applyBorder="1" applyAlignment="1">
      <alignment horizontal="center"/>
    </xf>
    <xf numFmtId="0" fontId="1" fillId="4" borderId="0" xfId="0" applyFont="1" applyFill="1" applyAlignment="1">
      <alignment horizontal="center"/>
    </xf>
    <xf numFmtId="0" fontId="6" fillId="5" borderId="0" xfId="0" applyFont="1" applyFill="1" applyBorder="1" applyAlignment="1">
      <alignment horizontal="center"/>
    </xf>
    <xf numFmtId="0" fontId="1" fillId="2" borderId="0" xfId="0" applyFont="1" applyFill="1" applyAlignment="1">
      <alignment horizontal="center"/>
    </xf>
    <xf numFmtId="0" fontId="1" fillId="4" borderId="6" xfId="0" applyFont="1" applyFill="1" applyBorder="1" applyAlignment="1">
      <alignment horizontal="center"/>
    </xf>
  </cellXfs>
  <cellStyles count="1">
    <cellStyle name="Normal" xfId="0" builtinId="0"/>
  </cellStyles>
  <dxfs count="0"/>
  <tableStyles count="0" defaultTableStyle="TableStyleMedium9" defaultPivotStyle="PivotStyleLight16"/>
  <colors>
    <mruColors>
      <color rgb="FF009999"/>
      <color rgb="FF00FFFF"/>
    </mruColors>
  </colors>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c:lang val="en-GB"/>
  <c:chart>
    <c:title>
      <c:tx>
        <c:rich>
          <a:bodyPr/>
          <a:lstStyle/>
          <a:p>
            <a:pPr>
              <a:defRPr sz="1200" b="1" i="0" u="none" strike="noStrike" baseline="0">
                <a:solidFill>
                  <a:srgbClr val="000000"/>
                </a:solidFill>
                <a:latin typeface="Arial"/>
                <a:ea typeface="Arial"/>
                <a:cs typeface="Arial"/>
              </a:defRPr>
            </a:pPr>
            <a:r>
              <a:rPr lang="en-GB"/>
              <a:t>Comparison between the observed and expected proportion seropositive</a:t>
            </a:r>
          </a:p>
        </c:rich>
      </c:tx>
      <c:layout>
        <c:manualLayout>
          <c:xMode val="edge"/>
          <c:yMode val="edge"/>
          <c:x val="0.10421114027413281"/>
          <c:y val="2.5183406952179792E-2"/>
        </c:manualLayout>
      </c:layout>
      <c:spPr>
        <a:noFill/>
        <a:ln w="25400">
          <a:noFill/>
        </a:ln>
      </c:spPr>
    </c:title>
    <c:plotArea>
      <c:layout>
        <c:manualLayout>
          <c:layoutTarget val="inner"/>
          <c:xMode val="edge"/>
          <c:yMode val="edge"/>
          <c:x val="0.18178957420791678"/>
          <c:y val="0.18490547015093914"/>
          <c:w val="0.72515232030784749"/>
          <c:h val="0.62265387415127516"/>
        </c:manualLayout>
      </c:layout>
      <c:scatterChart>
        <c:scatterStyle val="lineMarker"/>
        <c:ser>
          <c:idx val="0"/>
          <c:order val="0"/>
          <c:tx>
            <c:v>Observed</c:v>
          </c:tx>
          <c:spPr>
            <a:ln w="28575">
              <a:noFill/>
            </a:ln>
          </c:spPr>
          <c:marker>
            <c:symbol val="triangle"/>
            <c:size val="5"/>
            <c:spPr>
              <a:noFill/>
              <a:ln>
                <a:solidFill>
                  <a:schemeClr val="tx1"/>
                </a:solidFill>
              </a:ln>
            </c:spPr>
          </c:marker>
          <c:xVal>
            <c:numRef>
              <c:f>'fixed durn maternal immunity'!$A$35:$A$79</c:f>
              <c:numCache>
                <c:formatCode>General</c:formatCode>
                <c:ptCount val="45"/>
                <c:pt idx="0">
                  <c:v>0</c:v>
                </c:pt>
                <c:pt idx="1">
                  <c:v>0.5</c:v>
                </c:pt>
                <c:pt idx="2">
                  <c:v>1.5</c:v>
                </c:pt>
                <c:pt idx="3">
                  <c:v>2.5</c:v>
                </c:pt>
                <c:pt idx="4">
                  <c:v>3.5</c:v>
                </c:pt>
                <c:pt idx="5">
                  <c:v>4.5</c:v>
                </c:pt>
                <c:pt idx="6">
                  <c:v>5.5</c:v>
                </c:pt>
                <c:pt idx="7">
                  <c:v>6.5</c:v>
                </c:pt>
                <c:pt idx="8">
                  <c:v>7.5</c:v>
                </c:pt>
                <c:pt idx="9">
                  <c:v>8.5</c:v>
                </c:pt>
                <c:pt idx="10">
                  <c:v>9.5</c:v>
                </c:pt>
                <c:pt idx="11">
                  <c:v>10.5</c:v>
                </c:pt>
                <c:pt idx="12">
                  <c:v>11.5</c:v>
                </c:pt>
                <c:pt idx="13">
                  <c:v>12.5</c:v>
                </c:pt>
                <c:pt idx="14">
                  <c:v>13.5</c:v>
                </c:pt>
                <c:pt idx="15">
                  <c:v>14.5</c:v>
                </c:pt>
                <c:pt idx="16">
                  <c:v>15.5</c:v>
                </c:pt>
                <c:pt idx="17">
                  <c:v>16.5</c:v>
                </c:pt>
                <c:pt idx="18">
                  <c:v>17.5</c:v>
                </c:pt>
                <c:pt idx="19">
                  <c:v>18.5</c:v>
                </c:pt>
                <c:pt idx="20">
                  <c:v>19.5</c:v>
                </c:pt>
                <c:pt idx="21">
                  <c:v>20.5</c:v>
                </c:pt>
                <c:pt idx="22">
                  <c:v>21.5</c:v>
                </c:pt>
                <c:pt idx="23">
                  <c:v>22.5</c:v>
                </c:pt>
                <c:pt idx="24">
                  <c:v>23.5</c:v>
                </c:pt>
                <c:pt idx="25">
                  <c:v>24.5</c:v>
                </c:pt>
                <c:pt idx="26">
                  <c:v>25.5</c:v>
                </c:pt>
                <c:pt idx="27">
                  <c:v>26.5</c:v>
                </c:pt>
                <c:pt idx="28">
                  <c:v>27.5</c:v>
                </c:pt>
                <c:pt idx="29">
                  <c:v>28.5</c:v>
                </c:pt>
                <c:pt idx="30">
                  <c:v>29.5</c:v>
                </c:pt>
                <c:pt idx="31">
                  <c:v>30.5</c:v>
                </c:pt>
                <c:pt idx="32">
                  <c:v>31.5</c:v>
                </c:pt>
                <c:pt idx="33">
                  <c:v>32.5</c:v>
                </c:pt>
                <c:pt idx="34">
                  <c:v>33.5</c:v>
                </c:pt>
                <c:pt idx="35">
                  <c:v>34.5</c:v>
                </c:pt>
                <c:pt idx="36">
                  <c:v>35.5</c:v>
                </c:pt>
                <c:pt idx="37">
                  <c:v>36.5</c:v>
                </c:pt>
                <c:pt idx="38">
                  <c:v>37.5</c:v>
                </c:pt>
                <c:pt idx="39">
                  <c:v>38.5</c:v>
                </c:pt>
                <c:pt idx="40">
                  <c:v>39.5</c:v>
                </c:pt>
                <c:pt idx="41">
                  <c:v>40.5</c:v>
                </c:pt>
                <c:pt idx="42">
                  <c:v>41.5</c:v>
                </c:pt>
                <c:pt idx="43">
                  <c:v>42.5</c:v>
                </c:pt>
                <c:pt idx="44">
                  <c:v>43.5</c:v>
                </c:pt>
              </c:numCache>
            </c:numRef>
          </c:xVal>
          <c:yVal>
            <c:numRef>
              <c:f>'fixed durn maternal immunity'!$E$35:$E$79</c:f>
              <c:numCache>
                <c:formatCode>General</c:formatCode>
                <c:ptCount val="45"/>
                <c:pt idx="1">
                  <c:v>0.15048543689320387</c:v>
                </c:pt>
                <c:pt idx="2">
                  <c:v>0.20547945205479451</c:v>
                </c:pt>
                <c:pt idx="3">
                  <c:v>0.20238095238095238</c:v>
                </c:pt>
                <c:pt idx="4">
                  <c:v>0.30158730158730157</c:v>
                </c:pt>
                <c:pt idx="5">
                  <c:v>0.43378995433789952</c:v>
                </c:pt>
                <c:pt idx="6">
                  <c:v>0.53333333333333333</c:v>
                </c:pt>
                <c:pt idx="7">
                  <c:v>0.54878048780487809</c:v>
                </c:pt>
                <c:pt idx="8">
                  <c:v>0.66206896551724137</c:v>
                </c:pt>
                <c:pt idx="9">
                  <c:v>0.74444444444444446</c:v>
                </c:pt>
                <c:pt idx="10">
                  <c:v>0.6875</c:v>
                </c:pt>
                <c:pt idx="11">
                  <c:v>0.75</c:v>
                </c:pt>
                <c:pt idx="12">
                  <c:v>0.8258426966292135</c:v>
                </c:pt>
                <c:pt idx="13">
                  <c:v>0.77966101694915257</c:v>
                </c:pt>
                <c:pt idx="14">
                  <c:v>0.8545454545454545</c:v>
                </c:pt>
                <c:pt idx="15">
                  <c:v>0.79104477611940294</c:v>
                </c:pt>
                <c:pt idx="16">
                  <c:v>0.84482758620689657</c:v>
                </c:pt>
                <c:pt idx="17">
                  <c:v>0.90123456790123457</c:v>
                </c:pt>
                <c:pt idx="18">
                  <c:v>0.87341772151898733</c:v>
                </c:pt>
                <c:pt idx="19">
                  <c:v>0.87387387387387383</c:v>
                </c:pt>
                <c:pt idx="20">
                  <c:v>0.85526315789473684</c:v>
                </c:pt>
                <c:pt idx="21">
                  <c:v>0.90243902439024393</c:v>
                </c:pt>
                <c:pt idx="22">
                  <c:v>0.83168316831683164</c:v>
                </c:pt>
                <c:pt idx="23">
                  <c:v>0.93181818181818177</c:v>
                </c:pt>
                <c:pt idx="24">
                  <c:v>0.92941176470588238</c:v>
                </c:pt>
                <c:pt idx="25">
                  <c:v>0.95744680851063835</c:v>
                </c:pt>
                <c:pt idx="26">
                  <c:v>0.92307692307692313</c:v>
                </c:pt>
                <c:pt idx="27">
                  <c:v>0.9101123595505618</c:v>
                </c:pt>
                <c:pt idx="28">
                  <c:v>0.94736842105263153</c:v>
                </c:pt>
                <c:pt idx="29">
                  <c:v>0.89873417721518989</c:v>
                </c:pt>
                <c:pt idx="30">
                  <c:v>0.9107142857142857</c:v>
                </c:pt>
                <c:pt idx="31">
                  <c:v>0.86538461538461542</c:v>
                </c:pt>
                <c:pt idx="32">
                  <c:v>0.9375</c:v>
                </c:pt>
                <c:pt idx="33">
                  <c:v>0.94594594594594594</c:v>
                </c:pt>
                <c:pt idx="34">
                  <c:v>0.95121951219512191</c:v>
                </c:pt>
                <c:pt idx="35">
                  <c:v>0.9</c:v>
                </c:pt>
                <c:pt idx="36">
                  <c:v>0.97368421052631582</c:v>
                </c:pt>
                <c:pt idx="37">
                  <c:v>0.94871794871794868</c:v>
                </c:pt>
                <c:pt idx="38">
                  <c:v>0.90243902439024393</c:v>
                </c:pt>
                <c:pt idx="39">
                  <c:v>0.93333333333333335</c:v>
                </c:pt>
                <c:pt idx="40">
                  <c:v>0.96296296296296291</c:v>
                </c:pt>
                <c:pt idx="41">
                  <c:v>1</c:v>
                </c:pt>
                <c:pt idx="42">
                  <c:v>0.95454545454545459</c:v>
                </c:pt>
                <c:pt idx="43">
                  <c:v>0.94736842105263153</c:v>
                </c:pt>
                <c:pt idx="44">
                  <c:v>1</c:v>
                </c:pt>
              </c:numCache>
            </c:numRef>
          </c:yVal>
        </c:ser>
        <c:ser>
          <c:idx val="1"/>
          <c:order val="1"/>
          <c:tx>
            <c:v>Predicted proportion (ever) infected</c:v>
          </c:tx>
          <c:spPr>
            <a:ln w="25400">
              <a:solidFill>
                <a:srgbClr val="FF00FF"/>
              </a:solidFill>
              <a:prstDash val="solid"/>
            </a:ln>
          </c:spPr>
          <c:marker>
            <c:symbol val="none"/>
          </c:marker>
          <c:xVal>
            <c:numRef>
              <c:f>'fixed durn maternal immunity'!$A$35:$A$79</c:f>
              <c:numCache>
                <c:formatCode>General</c:formatCode>
                <c:ptCount val="45"/>
                <c:pt idx="0">
                  <c:v>0</c:v>
                </c:pt>
                <c:pt idx="1">
                  <c:v>0.5</c:v>
                </c:pt>
                <c:pt idx="2">
                  <c:v>1.5</c:v>
                </c:pt>
                <c:pt idx="3">
                  <c:v>2.5</c:v>
                </c:pt>
                <c:pt idx="4">
                  <c:v>3.5</c:v>
                </c:pt>
                <c:pt idx="5">
                  <c:v>4.5</c:v>
                </c:pt>
                <c:pt idx="6">
                  <c:v>5.5</c:v>
                </c:pt>
                <c:pt idx="7">
                  <c:v>6.5</c:v>
                </c:pt>
                <c:pt idx="8">
                  <c:v>7.5</c:v>
                </c:pt>
                <c:pt idx="9">
                  <c:v>8.5</c:v>
                </c:pt>
                <c:pt idx="10">
                  <c:v>9.5</c:v>
                </c:pt>
                <c:pt idx="11">
                  <c:v>10.5</c:v>
                </c:pt>
                <c:pt idx="12">
                  <c:v>11.5</c:v>
                </c:pt>
                <c:pt idx="13">
                  <c:v>12.5</c:v>
                </c:pt>
                <c:pt idx="14">
                  <c:v>13.5</c:v>
                </c:pt>
                <c:pt idx="15">
                  <c:v>14.5</c:v>
                </c:pt>
                <c:pt idx="16">
                  <c:v>15.5</c:v>
                </c:pt>
                <c:pt idx="17">
                  <c:v>16.5</c:v>
                </c:pt>
                <c:pt idx="18">
                  <c:v>17.5</c:v>
                </c:pt>
                <c:pt idx="19">
                  <c:v>18.5</c:v>
                </c:pt>
                <c:pt idx="20">
                  <c:v>19.5</c:v>
                </c:pt>
                <c:pt idx="21">
                  <c:v>20.5</c:v>
                </c:pt>
                <c:pt idx="22">
                  <c:v>21.5</c:v>
                </c:pt>
                <c:pt idx="23">
                  <c:v>22.5</c:v>
                </c:pt>
                <c:pt idx="24">
                  <c:v>23.5</c:v>
                </c:pt>
                <c:pt idx="25">
                  <c:v>24.5</c:v>
                </c:pt>
                <c:pt idx="26">
                  <c:v>25.5</c:v>
                </c:pt>
                <c:pt idx="27">
                  <c:v>26.5</c:v>
                </c:pt>
                <c:pt idx="28">
                  <c:v>27.5</c:v>
                </c:pt>
                <c:pt idx="29">
                  <c:v>28.5</c:v>
                </c:pt>
                <c:pt idx="30">
                  <c:v>29.5</c:v>
                </c:pt>
                <c:pt idx="31">
                  <c:v>30.5</c:v>
                </c:pt>
                <c:pt idx="32">
                  <c:v>31.5</c:v>
                </c:pt>
                <c:pt idx="33">
                  <c:v>32.5</c:v>
                </c:pt>
                <c:pt idx="34">
                  <c:v>33.5</c:v>
                </c:pt>
                <c:pt idx="35">
                  <c:v>34.5</c:v>
                </c:pt>
                <c:pt idx="36">
                  <c:v>35.5</c:v>
                </c:pt>
                <c:pt idx="37">
                  <c:v>36.5</c:v>
                </c:pt>
                <c:pt idx="38">
                  <c:v>37.5</c:v>
                </c:pt>
                <c:pt idx="39">
                  <c:v>38.5</c:v>
                </c:pt>
                <c:pt idx="40">
                  <c:v>39.5</c:v>
                </c:pt>
                <c:pt idx="41">
                  <c:v>40.5</c:v>
                </c:pt>
                <c:pt idx="42">
                  <c:v>41.5</c:v>
                </c:pt>
                <c:pt idx="43">
                  <c:v>42.5</c:v>
                </c:pt>
                <c:pt idx="44">
                  <c:v>43.5</c:v>
                </c:pt>
              </c:numCache>
            </c:numRef>
          </c:xVal>
          <c:yVal>
            <c:numRef>
              <c:f>'fixed durn maternal immunity'!$G$35:$G$79</c:f>
              <c:numCache>
                <c:formatCode>General</c:formatCode>
                <c:ptCount val="45"/>
                <c:pt idx="0">
                  <c:v>0</c:v>
                </c:pt>
                <c:pt idx="1">
                  <c:v>0</c:v>
                </c:pt>
                <c:pt idx="2">
                  <c:v>0.164729788588728</c:v>
                </c:pt>
                <c:pt idx="3">
                  <c:v>0.30232367392896897</c:v>
                </c:pt>
                <c:pt idx="4">
                  <c:v>0.41725174762601036</c:v>
                </c:pt>
                <c:pt idx="5">
                  <c:v>0.51324774404002826</c:v>
                </c:pt>
                <c:pt idx="6">
                  <c:v>0.59343034025940078</c:v>
                </c:pt>
                <c:pt idx="7">
                  <c:v>0.66040447435506089</c:v>
                </c:pt>
                <c:pt idx="8">
                  <c:v>0.71634597350022955</c:v>
                </c:pt>
                <c:pt idx="9">
                  <c:v>0.76307224131787821</c:v>
                </c:pt>
                <c:pt idx="10">
                  <c:v>0.80210130091638532</c:v>
                </c:pt>
                <c:pt idx="11">
                  <c:v>0.83470111177841344</c:v>
                </c:pt>
                <c:pt idx="12">
                  <c:v>0.86193076268910718</c:v>
                </c:pt>
                <c:pt idx="13">
                  <c:v>0.88467487896193753</c:v>
                </c:pt>
                <c:pt idx="14">
                  <c:v>0.90367236176950694</c:v>
                </c:pt>
                <c:pt idx="15">
                  <c:v>0.91954039325046755</c:v>
                </c:pt>
                <c:pt idx="16">
                  <c:v>0.93279448726025027</c:v>
                </c:pt>
                <c:pt idx="17">
                  <c:v>0.94386523716586623</c:v>
                </c:pt>
                <c:pt idx="18">
                  <c:v>0.95311230478001152</c:v>
                </c:pt>
                <c:pt idx="19">
                  <c:v>0.9608361049010129</c:v>
                </c:pt>
                <c:pt idx="20">
                  <c:v>0.96728756506098024</c:v>
                </c:pt>
                <c:pt idx="21">
                  <c:v>0.97267627755270747</c:v>
                </c:pt>
                <c:pt idx="22">
                  <c:v>0.97717730857490703</c:v>
                </c:pt>
                <c:pt idx="23">
                  <c:v>0.98093688570838833</c:v>
                </c:pt>
                <c:pt idx="24">
                  <c:v>0.98407714849548833</c:v>
                </c:pt>
                <c:pt idx="25">
                  <c:v>0.98670011645755629</c:v>
                </c:pt>
                <c:pt idx="26">
                  <c:v>0.98889100346175773</c:v>
                </c:pt>
                <c:pt idx="27">
                  <c:v>0.99072098611293524</c:v>
                </c:pt>
                <c:pt idx="28">
                  <c:v>0.99224951610886325</c:v>
                </c:pt>
                <c:pt idx="29">
                  <c:v>0.9935262516817106</c:v>
                </c:pt>
                <c:pt idx="30">
                  <c:v>0.99459267087355907</c:v>
                </c:pt>
                <c:pt idx="31">
                  <c:v>0.99548341905738735</c:v>
                </c:pt>
                <c:pt idx="32">
                  <c:v>0.99622743448120776</c:v>
                </c:pt>
                <c:pt idx="33">
                  <c:v>0.99684888840155561</c:v>
                </c:pt>
                <c:pt idx="34">
                  <c:v>0.99736797034898683</c:v>
                </c:pt>
                <c:pt idx="35">
                  <c:v>0.99780154403695742</c:v>
                </c:pt>
                <c:pt idx="36">
                  <c:v>0.9981636952229711</c:v>
                </c:pt>
                <c:pt idx="37">
                  <c:v>0.99846618932067555</c:v>
                </c:pt>
                <c:pt idx="38">
                  <c:v>0.99871885362961577</c:v>
                </c:pt>
                <c:pt idx="39">
                  <c:v>0.99892989660036036</c:v>
                </c:pt>
                <c:pt idx="40">
                  <c:v>0.99910617450715111</c:v>
                </c:pt>
                <c:pt idx="41">
                  <c:v>0.99925341419162328</c:v>
                </c:pt>
                <c:pt idx="42">
                  <c:v>0.99937639911400056</c:v>
                </c:pt>
                <c:pt idx="43">
                  <c:v>0.999479124756115</c:v>
                </c:pt>
                <c:pt idx="44">
                  <c:v>0.99956492842492128</c:v>
                </c:pt>
              </c:numCache>
            </c:numRef>
          </c:yVal>
        </c:ser>
        <c:axId val="104000128"/>
        <c:axId val="100143488"/>
      </c:scatterChart>
      <c:valAx>
        <c:axId val="104000128"/>
        <c:scaling>
          <c:orientation val="minMax"/>
          <c:max val="50"/>
        </c:scaling>
        <c:axPos val="b"/>
        <c:numFmt formatCode="General"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00143488"/>
        <c:crosses val="autoZero"/>
        <c:crossBetween val="midCat"/>
        <c:majorUnit val="10"/>
        <c:minorUnit val="2"/>
      </c:valAx>
      <c:valAx>
        <c:axId val="100143488"/>
        <c:scaling>
          <c:orientation val="minMax"/>
          <c:max val="1"/>
        </c:scaling>
        <c:axPos val="l"/>
        <c:numFmt formatCode="General"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04000128"/>
        <c:crosses val="autoZero"/>
        <c:crossBetween val="midCat"/>
      </c:valAx>
      <c:spPr>
        <a:noFill/>
        <a:ln w="25400">
          <a:noFill/>
        </a:ln>
      </c:spPr>
    </c:plotArea>
    <c:legend>
      <c:legendPos val="r"/>
      <c:layout>
        <c:manualLayout>
          <c:xMode val="edge"/>
          <c:yMode val="edge"/>
          <c:x val="0.49354845530116981"/>
          <c:y val="0.38969277164967109"/>
          <c:w val="0.42908313228523232"/>
          <c:h val="0.18511843031816219"/>
        </c:manualLayout>
      </c:layout>
      <c:spPr>
        <a:solidFill>
          <a:srgbClr val="FFFFFF"/>
        </a:solidFill>
        <a:ln w="25400">
          <a:noFill/>
        </a:ln>
      </c:spPr>
      <c:txPr>
        <a:bodyPr/>
        <a:lstStyle/>
        <a:p>
          <a:pPr>
            <a:defRPr sz="1010"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9525">
      <a:noFill/>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222" r="0.75000000000000222"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lang val="en-GB"/>
  <c:chart>
    <c:title>
      <c:tx>
        <c:rich>
          <a:bodyPr/>
          <a:lstStyle/>
          <a:p>
            <a:pPr>
              <a:defRPr sz="1200" b="1" i="0" u="none" strike="noStrike" baseline="0">
                <a:solidFill>
                  <a:srgbClr val="000000"/>
                </a:solidFill>
                <a:latin typeface="Arial"/>
                <a:ea typeface="Arial"/>
                <a:cs typeface="Arial"/>
              </a:defRPr>
            </a:pPr>
            <a:r>
              <a:rPr lang="en-GB"/>
              <a:t>Comparison between the observed and expected proportion seropositive</a:t>
            </a:r>
          </a:p>
        </c:rich>
      </c:tx>
      <c:layout>
        <c:manualLayout>
          <c:xMode val="edge"/>
          <c:yMode val="edge"/>
          <c:x val="0.10421114027413281"/>
          <c:y val="2.5183476269287988E-2"/>
        </c:manualLayout>
      </c:layout>
      <c:spPr>
        <a:noFill/>
        <a:ln w="25400">
          <a:noFill/>
        </a:ln>
      </c:spPr>
    </c:title>
    <c:plotArea>
      <c:layout>
        <c:manualLayout>
          <c:layoutTarget val="inner"/>
          <c:xMode val="edge"/>
          <c:yMode val="edge"/>
          <c:x val="0.2007161247082862"/>
          <c:y val="0.19774799889144384"/>
          <c:w val="0.75507886723637596"/>
          <c:h val="0.63886242480559563"/>
        </c:manualLayout>
      </c:layout>
      <c:scatterChart>
        <c:scatterStyle val="lineMarker"/>
        <c:ser>
          <c:idx val="0"/>
          <c:order val="0"/>
          <c:tx>
            <c:v>Observed</c:v>
          </c:tx>
          <c:spPr>
            <a:ln w="28575">
              <a:noFill/>
            </a:ln>
          </c:spPr>
          <c:marker>
            <c:symbol val="triangle"/>
            <c:size val="5"/>
            <c:spPr>
              <a:noFill/>
              <a:ln>
                <a:solidFill>
                  <a:schemeClr val="tx1"/>
                </a:solidFill>
              </a:ln>
            </c:spPr>
          </c:marker>
          <c:xVal>
            <c:numRef>
              <c:f>'waning maternal immunity'!$A$35:$A$79</c:f>
              <c:numCache>
                <c:formatCode>General</c:formatCode>
                <c:ptCount val="45"/>
                <c:pt idx="0">
                  <c:v>0</c:v>
                </c:pt>
                <c:pt idx="1">
                  <c:v>0.5</c:v>
                </c:pt>
                <c:pt idx="2">
                  <c:v>1.5</c:v>
                </c:pt>
                <c:pt idx="3">
                  <c:v>2.5</c:v>
                </c:pt>
                <c:pt idx="4">
                  <c:v>3.5</c:v>
                </c:pt>
                <c:pt idx="5">
                  <c:v>4.5</c:v>
                </c:pt>
                <c:pt idx="6">
                  <c:v>5.5</c:v>
                </c:pt>
                <c:pt idx="7">
                  <c:v>6.5</c:v>
                </c:pt>
                <c:pt idx="8">
                  <c:v>7.5</c:v>
                </c:pt>
                <c:pt idx="9">
                  <c:v>8.5</c:v>
                </c:pt>
                <c:pt idx="10">
                  <c:v>9.5</c:v>
                </c:pt>
                <c:pt idx="11">
                  <c:v>10.5</c:v>
                </c:pt>
                <c:pt idx="12">
                  <c:v>11.5</c:v>
                </c:pt>
                <c:pt idx="13">
                  <c:v>12.5</c:v>
                </c:pt>
                <c:pt idx="14">
                  <c:v>13.5</c:v>
                </c:pt>
                <c:pt idx="15">
                  <c:v>14.5</c:v>
                </c:pt>
                <c:pt idx="16">
                  <c:v>15.5</c:v>
                </c:pt>
                <c:pt idx="17">
                  <c:v>16.5</c:v>
                </c:pt>
                <c:pt idx="18">
                  <c:v>17.5</c:v>
                </c:pt>
                <c:pt idx="19">
                  <c:v>18.5</c:v>
                </c:pt>
                <c:pt idx="20">
                  <c:v>19.5</c:v>
                </c:pt>
                <c:pt idx="21">
                  <c:v>20.5</c:v>
                </c:pt>
                <c:pt idx="22">
                  <c:v>21.5</c:v>
                </c:pt>
                <c:pt idx="23">
                  <c:v>22.5</c:v>
                </c:pt>
                <c:pt idx="24">
                  <c:v>23.5</c:v>
                </c:pt>
                <c:pt idx="25">
                  <c:v>24.5</c:v>
                </c:pt>
                <c:pt idx="26">
                  <c:v>25.5</c:v>
                </c:pt>
                <c:pt idx="27">
                  <c:v>26.5</c:v>
                </c:pt>
                <c:pt idx="28">
                  <c:v>27.5</c:v>
                </c:pt>
                <c:pt idx="29">
                  <c:v>28.5</c:v>
                </c:pt>
                <c:pt idx="30">
                  <c:v>29.5</c:v>
                </c:pt>
                <c:pt idx="31">
                  <c:v>30.5</c:v>
                </c:pt>
                <c:pt idx="32">
                  <c:v>31.5</c:v>
                </c:pt>
                <c:pt idx="33">
                  <c:v>32.5</c:v>
                </c:pt>
                <c:pt idx="34">
                  <c:v>33.5</c:v>
                </c:pt>
                <c:pt idx="35">
                  <c:v>34.5</c:v>
                </c:pt>
                <c:pt idx="36">
                  <c:v>35.5</c:v>
                </c:pt>
                <c:pt idx="37">
                  <c:v>36.5</c:v>
                </c:pt>
                <c:pt idx="38">
                  <c:v>37.5</c:v>
                </c:pt>
                <c:pt idx="39">
                  <c:v>38.5</c:v>
                </c:pt>
                <c:pt idx="40">
                  <c:v>39.5</c:v>
                </c:pt>
                <c:pt idx="41">
                  <c:v>40.5</c:v>
                </c:pt>
                <c:pt idx="42">
                  <c:v>41.5</c:v>
                </c:pt>
                <c:pt idx="43">
                  <c:v>42.5</c:v>
                </c:pt>
                <c:pt idx="44">
                  <c:v>43.5</c:v>
                </c:pt>
              </c:numCache>
            </c:numRef>
          </c:xVal>
          <c:yVal>
            <c:numRef>
              <c:f>'waning maternal immunity'!$E$35:$E$79</c:f>
              <c:numCache>
                <c:formatCode>General</c:formatCode>
                <c:ptCount val="45"/>
                <c:pt idx="1">
                  <c:v>0.15048543689320387</c:v>
                </c:pt>
                <c:pt idx="2">
                  <c:v>0.20547945205479451</c:v>
                </c:pt>
                <c:pt idx="3">
                  <c:v>0.20238095238095238</c:v>
                </c:pt>
                <c:pt idx="4">
                  <c:v>0.30158730158730157</c:v>
                </c:pt>
                <c:pt idx="5">
                  <c:v>0.43378995433789952</c:v>
                </c:pt>
                <c:pt idx="6">
                  <c:v>0.53333333333333333</c:v>
                </c:pt>
                <c:pt idx="7">
                  <c:v>0.54878048780487809</c:v>
                </c:pt>
                <c:pt idx="8">
                  <c:v>0.66206896551724137</c:v>
                </c:pt>
                <c:pt idx="9">
                  <c:v>0.74444444444444446</c:v>
                </c:pt>
                <c:pt idx="10">
                  <c:v>0.6875</c:v>
                </c:pt>
                <c:pt idx="11">
                  <c:v>0.75</c:v>
                </c:pt>
                <c:pt idx="12">
                  <c:v>0.8258426966292135</c:v>
                </c:pt>
                <c:pt idx="13">
                  <c:v>0.77966101694915257</c:v>
                </c:pt>
                <c:pt idx="14">
                  <c:v>0.8545454545454545</c:v>
                </c:pt>
                <c:pt idx="15">
                  <c:v>0.79104477611940294</c:v>
                </c:pt>
                <c:pt idx="16">
                  <c:v>0.84482758620689657</c:v>
                </c:pt>
                <c:pt idx="17">
                  <c:v>0.90123456790123457</c:v>
                </c:pt>
                <c:pt idx="18">
                  <c:v>0.87341772151898733</c:v>
                </c:pt>
                <c:pt idx="19">
                  <c:v>0.87387387387387383</c:v>
                </c:pt>
                <c:pt idx="20">
                  <c:v>0.85526315789473684</c:v>
                </c:pt>
                <c:pt idx="21">
                  <c:v>0.90243902439024393</c:v>
                </c:pt>
                <c:pt idx="22">
                  <c:v>0.83168316831683164</c:v>
                </c:pt>
                <c:pt idx="23">
                  <c:v>0.93181818181818177</c:v>
                </c:pt>
                <c:pt idx="24">
                  <c:v>0.92941176470588238</c:v>
                </c:pt>
                <c:pt idx="25">
                  <c:v>0.95744680851063835</c:v>
                </c:pt>
                <c:pt idx="26">
                  <c:v>0.92307692307692313</c:v>
                </c:pt>
                <c:pt idx="27">
                  <c:v>0.9101123595505618</c:v>
                </c:pt>
                <c:pt idx="28">
                  <c:v>0.94736842105263153</c:v>
                </c:pt>
                <c:pt idx="29">
                  <c:v>0.89873417721518989</c:v>
                </c:pt>
                <c:pt idx="30">
                  <c:v>0.9107142857142857</c:v>
                </c:pt>
                <c:pt idx="31">
                  <c:v>0.86538461538461542</c:v>
                </c:pt>
                <c:pt idx="32">
                  <c:v>0.9375</c:v>
                </c:pt>
                <c:pt idx="33">
                  <c:v>0.94594594594594594</c:v>
                </c:pt>
                <c:pt idx="34">
                  <c:v>0.95121951219512191</c:v>
                </c:pt>
                <c:pt idx="35">
                  <c:v>0.9</c:v>
                </c:pt>
                <c:pt idx="36">
                  <c:v>0.97368421052631582</c:v>
                </c:pt>
                <c:pt idx="37">
                  <c:v>0.94871794871794868</c:v>
                </c:pt>
                <c:pt idx="38">
                  <c:v>0.90243902439024393</c:v>
                </c:pt>
                <c:pt idx="39">
                  <c:v>0.93333333333333335</c:v>
                </c:pt>
                <c:pt idx="40">
                  <c:v>0.96296296296296291</c:v>
                </c:pt>
                <c:pt idx="41">
                  <c:v>1</c:v>
                </c:pt>
                <c:pt idx="42">
                  <c:v>0.95454545454545459</c:v>
                </c:pt>
                <c:pt idx="43">
                  <c:v>0.94736842105263153</c:v>
                </c:pt>
                <c:pt idx="44">
                  <c:v>1</c:v>
                </c:pt>
              </c:numCache>
            </c:numRef>
          </c:yVal>
        </c:ser>
        <c:ser>
          <c:idx val="1"/>
          <c:order val="1"/>
          <c:tx>
            <c:v>Model prediction</c:v>
          </c:tx>
          <c:spPr>
            <a:ln w="25400">
              <a:solidFill>
                <a:srgbClr val="FF00FF"/>
              </a:solidFill>
              <a:prstDash val="solid"/>
            </a:ln>
          </c:spPr>
          <c:marker>
            <c:symbol val="none"/>
          </c:marker>
          <c:xVal>
            <c:numRef>
              <c:f>'waning maternal immunity'!$A$35:$A$79</c:f>
              <c:numCache>
                <c:formatCode>General</c:formatCode>
                <c:ptCount val="45"/>
                <c:pt idx="0">
                  <c:v>0</c:v>
                </c:pt>
                <c:pt idx="1">
                  <c:v>0.5</c:v>
                </c:pt>
                <c:pt idx="2">
                  <c:v>1.5</c:v>
                </c:pt>
                <c:pt idx="3">
                  <c:v>2.5</c:v>
                </c:pt>
                <c:pt idx="4">
                  <c:v>3.5</c:v>
                </c:pt>
                <c:pt idx="5">
                  <c:v>4.5</c:v>
                </c:pt>
                <c:pt idx="6">
                  <c:v>5.5</c:v>
                </c:pt>
                <c:pt idx="7">
                  <c:v>6.5</c:v>
                </c:pt>
                <c:pt idx="8">
                  <c:v>7.5</c:v>
                </c:pt>
                <c:pt idx="9">
                  <c:v>8.5</c:v>
                </c:pt>
                <c:pt idx="10">
                  <c:v>9.5</c:v>
                </c:pt>
                <c:pt idx="11">
                  <c:v>10.5</c:v>
                </c:pt>
                <c:pt idx="12">
                  <c:v>11.5</c:v>
                </c:pt>
                <c:pt idx="13">
                  <c:v>12.5</c:v>
                </c:pt>
                <c:pt idx="14">
                  <c:v>13.5</c:v>
                </c:pt>
                <c:pt idx="15">
                  <c:v>14.5</c:v>
                </c:pt>
                <c:pt idx="16">
                  <c:v>15.5</c:v>
                </c:pt>
                <c:pt idx="17">
                  <c:v>16.5</c:v>
                </c:pt>
                <c:pt idx="18">
                  <c:v>17.5</c:v>
                </c:pt>
                <c:pt idx="19">
                  <c:v>18.5</c:v>
                </c:pt>
                <c:pt idx="20">
                  <c:v>19.5</c:v>
                </c:pt>
                <c:pt idx="21">
                  <c:v>20.5</c:v>
                </c:pt>
                <c:pt idx="22">
                  <c:v>21.5</c:v>
                </c:pt>
                <c:pt idx="23">
                  <c:v>22.5</c:v>
                </c:pt>
                <c:pt idx="24">
                  <c:v>23.5</c:v>
                </c:pt>
                <c:pt idx="25">
                  <c:v>24.5</c:v>
                </c:pt>
                <c:pt idx="26">
                  <c:v>25.5</c:v>
                </c:pt>
                <c:pt idx="27">
                  <c:v>26.5</c:v>
                </c:pt>
                <c:pt idx="28">
                  <c:v>27.5</c:v>
                </c:pt>
                <c:pt idx="29">
                  <c:v>28.5</c:v>
                </c:pt>
                <c:pt idx="30">
                  <c:v>29.5</c:v>
                </c:pt>
                <c:pt idx="31">
                  <c:v>30.5</c:v>
                </c:pt>
                <c:pt idx="32">
                  <c:v>31.5</c:v>
                </c:pt>
                <c:pt idx="33">
                  <c:v>32.5</c:v>
                </c:pt>
                <c:pt idx="34">
                  <c:v>33.5</c:v>
                </c:pt>
                <c:pt idx="35">
                  <c:v>34.5</c:v>
                </c:pt>
                <c:pt idx="36">
                  <c:v>35.5</c:v>
                </c:pt>
                <c:pt idx="37">
                  <c:v>36.5</c:v>
                </c:pt>
                <c:pt idx="38">
                  <c:v>37.5</c:v>
                </c:pt>
                <c:pt idx="39">
                  <c:v>38.5</c:v>
                </c:pt>
                <c:pt idx="40">
                  <c:v>39.5</c:v>
                </c:pt>
                <c:pt idx="41">
                  <c:v>40.5</c:v>
                </c:pt>
                <c:pt idx="42">
                  <c:v>41.5</c:v>
                </c:pt>
                <c:pt idx="43">
                  <c:v>42.5</c:v>
                </c:pt>
                <c:pt idx="44">
                  <c:v>43.5</c:v>
                </c:pt>
              </c:numCache>
            </c:numRef>
          </c:xVal>
          <c:yVal>
            <c:numRef>
              <c:f>'waning maternal immunity'!$G$35:$G$79</c:f>
              <c:numCache>
                <c:formatCode>General</c:formatCode>
                <c:ptCount val="45"/>
                <c:pt idx="0">
                  <c:v>1</c:v>
                </c:pt>
                <c:pt idx="1">
                  <c:v>0.39994313835188366</c:v>
                </c:pt>
                <c:pt idx="2">
                  <c:v>0.21583249893517675</c:v>
                </c:pt>
                <c:pt idx="3">
                  <c:v>0.30671406085418917</c:v>
                </c:pt>
                <c:pt idx="4">
                  <c:v>0.41573635270182119</c:v>
                </c:pt>
                <c:pt idx="5">
                  <c:v>0.51128059734191822</c:v>
                </c:pt>
                <c:pt idx="6">
                  <c:v>0.5916923194271918</c:v>
                </c:pt>
                <c:pt idx="7">
                  <c:v>0.65893991105925487</c:v>
                </c:pt>
                <c:pt idx="8">
                  <c:v>0.71512092885321854</c:v>
                </c:pt>
                <c:pt idx="9">
                  <c:v>0.76204876272897815</c:v>
                </c:pt>
                <c:pt idx="10">
                  <c:v>0.80124638789634539</c:v>
                </c:pt>
                <c:pt idx="11">
                  <c:v>0.83398702408998371</c:v>
                </c:pt>
                <c:pt idx="12">
                  <c:v>0.8613343059314067</c:v>
                </c:pt>
                <c:pt idx="13">
                  <c:v>0.88417667632090513</c:v>
                </c:pt>
                <c:pt idx="14">
                  <c:v>0.90325622793352411</c:v>
                </c:pt>
                <c:pt idx="15">
                  <c:v>0.91919280905186518</c:v>
                </c:pt>
                <c:pt idx="16">
                  <c:v>0.93250416053300467</c:v>
                </c:pt>
                <c:pt idx="17">
                  <c:v>0.94362273589899504</c:v>
                </c:pt>
                <c:pt idx="18">
                  <c:v>0.95290975069556094</c:v>
                </c:pt>
                <c:pt idx="19">
                  <c:v>0.96066691750807121</c:v>
                </c:pt>
                <c:pt idx="20">
                  <c:v>0.9671462478715096</c:v>
                </c:pt>
                <c:pt idx="21">
                  <c:v>0.97255823951398224</c:v>
                </c:pt>
                <c:pt idx="22">
                  <c:v>0.97707871491734644</c:v>
                </c:pt>
                <c:pt idx="23">
                  <c:v>0.98085453336319395</c:v>
                </c:pt>
                <c:pt idx="24">
                  <c:v>0.98400836203470754</c:v>
                </c:pt>
                <c:pt idx="25">
                  <c:v>0.9866426611759177</c:v>
                </c:pt>
                <c:pt idx="26">
                  <c:v>0.98884301277651676</c:v>
                </c:pt>
                <c:pt idx="27">
                  <c:v>0.99068090092312833</c:v>
                </c:pt>
                <c:pt idx="28">
                  <c:v>0.99221603414389881</c:v>
                </c:pt>
                <c:pt idx="29">
                  <c:v>0.99349828519375616</c:v>
                </c:pt>
                <c:pt idx="30">
                  <c:v>0.99456931129925297</c:v>
                </c:pt>
                <c:pt idx="31">
                  <c:v>0.99546390750081826</c:v>
                </c:pt>
                <c:pt idx="32">
                  <c:v>0.99621113705922737</c:v>
                </c:pt>
                <c:pt idx="33">
                  <c:v>0.99683527565045249</c:v>
                </c:pt>
                <c:pt idx="34">
                  <c:v>0.99735660002349502</c:v>
                </c:pt>
                <c:pt idx="35">
                  <c:v>0.9977920467427801</c:v>
                </c:pt>
                <c:pt idx="36">
                  <c:v>0.99815576241605575</c:v>
                </c:pt>
                <c:pt idx="37">
                  <c:v>0.99845956328336627</c:v>
                </c:pt>
                <c:pt idx="38">
                  <c:v>0.99871331909803163</c:v>
                </c:pt>
                <c:pt idx="39">
                  <c:v>0.99892527377099405</c:v>
                </c:pt>
                <c:pt idx="40">
                  <c:v>0.99910231319548903</c:v>
                </c:pt>
                <c:pt idx="41">
                  <c:v>0.99925018895301498</c:v>
                </c:pt>
                <c:pt idx="42">
                  <c:v>0.99937370516826629</c:v>
                </c:pt>
                <c:pt idx="43">
                  <c:v>0.99947687458349199</c:v>
                </c:pt>
                <c:pt idx="44">
                  <c:v>0.99956304892275871</c:v>
                </c:pt>
              </c:numCache>
            </c:numRef>
          </c:yVal>
        </c:ser>
        <c:axId val="111142016"/>
        <c:axId val="111019520"/>
      </c:scatterChart>
      <c:valAx>
        <c:axId val="111142016"/>
        <c:scaling>
          <c:orientation val="minMax"/>
          <c:max val="50"/>
        </c:scaling>
        <c:axPos val="b"/>
        <c:numFmt formatCode="General"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1019520"/>
        <c:crosses val="autoZero"/>
        <c:crossBetween val="midCat"/>
        <c:majorUnit val="10"/>
        <c:minorUnit val="2"/>
      </c:valAx>
      <c:valAx>
        <c:axId val="111019520"/>
        <c:scaling>
          <c:orientation val="minMax"/>
          <c:max val="1"/>
        </c:scaling>
        <c:axPos val="l"/>
        <c:numFmt formatCode="General"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1142016"/>
        <c:crosses val="autoZero"/>
        <c:crossBetween val="midCat"/>
      </c:valAx>
      <c:spPr>
        <a:noFill/>
        <a:ln w="25400">
          <a:noFill/>
        </a:ln>
      </c:spPr>
    </c:plotArea>
    <c:legend>
      <c:legendPos val="r"/>
      <c:layout>
        <c:manualLayout>
          <c:xMode val="edge"/>
          <c:yMode val="edge"/>
          <c:x val="0.49802389113317558"/>
          <c:y val="0.41813142922352076"/>
          <c:w val="0.42908313228523232"/>
          <c:h val="0.18511827741277612"/>
        </c:manualLayout>
      </c:layout>
      <c:spPr>
        <a:solidFill>
          <a:srgbClr val="FFFFFF"/>
        </a:solidFill>
        <a:ln w="25400">
          <a:noFill/>
        </a:ln>
      </c:spPr>
      <c:txPr>
        <a:bodyPr/>
        <a:lstStyle/>
        <a:p>
          <a:pPr>
            <a:defRPr sz="1010"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9525">
      <a:noFill/>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244" r="0.75000000000000244" t="1" header="0.5" footer="0.5"/>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absolute">
    <xdr:from>
      <xdr:col>12</xdr:col>
      <xdr:colOff>431006</xdr:colOff>
      <xdr:row>11</xdr:row>
      <xdr:rowOff>104774</xdr:rowOff>
    </xdr:from>
    <xdr:to>
      <xdr:col>21</xdr:col>
      <xdr:colOff>554831</xdr:colOff>
      <xdr:row>40</xdr:row>
      <xdr:rowOff>140493</xdr:rowOff>
    </xdr:to>
    <xdr:graphicFrame macro="">
      <xdr:nvGraphicFramePr>
        <xdr:cNvPr id="17619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9</xdr:col>
      <xdr:colOff>11906</xdr:colOff>
      <xdr:row>11</xdr:row>
      <xdr:rowOff>9525</xdr:rowOff>
    </xdr:to>
    <xdr:pic>
      <xdr:nvPicPr>
        <xdr:cNvPr id="176166" name="Picture 38"/>
        <xdr:cNvPicPr>
          <a:picLocks noChangeAspect="1" noChangeArrowheads="1"/>
        </xdr:cNvPicPr>
      </xdr:nvPicPr>
      <xdr:blipFill>
        <a:blip xmlns:r="http://schemas.openxmlformats.org/officeDocument/2006/relationships" r:embed="rId2" cstate="print"/>
        <a:srcRect/>
        <a:stretch>
          <a:fillRect/>
        </a:stretch>
      </xdr:blipFill>
      <xdr:spPr bwMode="auto">
        <a:xfrm>
          <a:off x="0" y="0"/>
          <a:ext cx="5886450" cy="1866900"/>
        </a:xfrm>
        <a:prstGeom prst="rect">
          <a:avLst/>
        </a:prstGeom>
        <a:noFill/>
      </xdr:spPr>
    </xdr:pic>
    <xdr:clientData/>
  </xdr:twoCellAnchor>
</xdr:wsDr>
</file>

<file path=xl/drawings/drawing2.xml><?xml version="1.0" encoding="utf-8"?>
<c:userShapes xmlns:c="http://schemas.openxmlformats.org/drawingml/2006/chart">
  <cdr:relSizeAnchor xmlns:cdr="http://schemas.openxmlformats.org/drawingml/2006/chartDrawing">
    <cdr:from>
      <cdr:x>0</cdr:x>
      <cdr:y>0.53875</cdr:y>
    </cdr:from>
    <cdr:to>
      <cdr:x>0</cdr:x>
      <cdr:y>0.56053</cdr:y>
    </cdr:to>
    <cdr:sp macro="" textlink="">
      <cdr:nvSpPr>
        <cdr:cNvPr id="4097" name="Text Box 1"/>
        <cdr:cNvSpPr txBox="1">
          <a:spLocks xmlns:a="http://schemas.openxmlformats.org/drawingml/2006/main" noChangeArrowheads="1"/>
        </cdr:cNvSpPr>
      </cdr:nvSpPr>
      <cdr:spPr bwMode="auto">
        <a:xfrm xmlns:a="http://schemas.openxmlformats.org/drawingml/2006/main">
          <a:off x="10484" y="1220610"/>
          <a:ext cx="339477" cy="109396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vert="vert270" wrap="square" lIns="27432" tIns="22860" rIns="0" bIns="0" anchor="t" upright="1"/>
        <a:lstStyle xmlns:a="http://schemas.openxmlformats.org/drawingml/2006/main"/>
        <a:p xmlns:a="http://schemas.openxmlformats.org/drawingml/2006/main">
          <a:pPr algn="r" rtl="0">
            <a:defRPr sz="1000"/>
          </a:pPr>
          <a:r>
            <a:rPr lang="en-GB" sz="1400" b="1" i="0" strike="noStrike">
              <a:solidFill>
                <a:srgbClr val="000000"/>
              </a:solidFill>
              <a:latin typeface="Arial"/>
              <a:cs typeface="Arial"/>
            </a:rPr>
            <a:t>Proportion</a:t>
          </a:r>
        </a:p>
      </cdr:txBody>
    </cdr:sp>
  </cdr:relSizeAnchor>
  <cdr:relSizeAnchor xmlns:cdr="http://schemas.openxmlformats.org/drawingml/2006/chartDrawing">
    <cdr:from>
      <cdr:x>0.50796</cdr:x>
      <cdr:y>0.8852</cdr:y>
    </cdr:from>
    <cdr:to>
      <cdr:x>0.73364</cdr:x>
      <cdr:y>0.98792</cdr:y>
    </cdr:to>
    <cdr:sp macro="" textlink="">
      <cdr:nvSpPr>
        <cdr:cNvPr id="4098" name="Text Box 2"/>
        <cdr:cNvSpPr txBox="1">
          <a:spLocks xmlns:a="http://schemas.openxmlformats.org/drawingml/2006/main" noChangeArrowheads="1"/>
        </cdr:cNvSpPr>
      </cdr:nvSpPr>
      <cdr:spPr bwMode="auto">
        <a:xfrm xmlns:a="http://schemas.openxmlformats.org/drawingml/2006/main">
          <a:off x="2882933" y="2792029"/>
          <a:ext cx="1280853" cy="3240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400" b="1" i="0" strike="noStrike">
              <a:solidFill>
                <a:srgbClr val="000000"/>
              </a:solidFill>
              <a:latin typeface="Arial"/>
              <a:cs typeface="Arial"/>
            </a:rPr>
            <a:t>Age (yrs)</a:t>
          </a:r>
        </a:p>
      </cdr:txBody>
    </cdr:sp>
  </cdr:relSizeAnchor>
  <cdr:relSizeAnchor xmlns:cdr="http://schemas.openxmlformats.org/drawingml/2006/chartDrawing">
    <cdr:from>
      <cdr:x>0.03836</cdr:x>
      <cdr:y>0.32355</cdr:y>
    </cdr:from>
    <cdr:to>
      <cdr:x>0.0929</cdr:x>
      <cdr:y>0.68594</cdr:y>
    </cdr:to>
    <cdr:sp macro="" textlink="">
      <cdr:nvSpPr>
        <cdr:cNvPr id="4" name="Text Box 2"/>
        <cdr:cNvSpPr txBox="1">
          <a:spLocks xmlns:a="http://schemas.openxmlformats.org/drawingml/2006/main" noChangeArrowheads="1"/>
        </cdr:cNvSpPr>
      </cdr:nvSpPr>
      <cdr:spPr bwMode="auto">
        <a:xfrm xmlns:a="http://schemas.openxmlformats.org/drawingml/2006/main">
          <a:off x="217715" y="1020536"/>
          <a:ext cx="309562" cy="114299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vert270" wrap="square" lIns="27432" tIns="22860" rIns="0" bIns="0" anchor="t"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r>
            <a:rPr lang="en-GB" sz="1400" b="1" i="0" strike="noStrike">
              <a:solidFill>
                <a:srgbClr val="000000"/>
              </a:solidFill>
              <a:latin typeface="Arial"/>
              <a:cs typeface="Arial"/>
            </a:rPr>
            <a:t>Proportion</a:t>
          </a:r>
        </a:p>
      </cdr:txBody>
    </cdr:sp>
  </cdr:relSizeAnchor>
</c:userShapes>
</file>

<file path=xl/drawings/drawing3.xml><?xml version="1.0" encoding="utf-8"?>
<xdr:wsDr xmlns:xdr="http://schemas.openxmlformats.org/drawingml/2006/spreadsheetDrawing" xmlns:a="http://schemas.openxmlformats.org/drawingml/2006/main">
  <xdr:twoCellAnchor editAs="absolute">
    <xdr:from>
      <xdr:col>12</xdr:col>
      <xdr:colOff>428625</xdr:colOff>
      <xdr:row>12</xdr:row>
      <xdr:rowOff>35718</xdr:rowOff>
    </xdr:from>
    <xdr:to>
      <xdr:col>21</xdr:col>
      <xdr:colOff>561975</xdr:colOff>
      <xdr:row>40</xdr:row>
      <xdr:rowOff>102393</xdr:rowOff>
    </xdr:to>
    <xdr:graphicFrame macro="">
      <xdr:nvGraphicFramePr>
        <xdr:cNvPr id="324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9</xdr:col>
      <xdr:colOff>11906</xdr:colOff>
      <xdr:row>11</xdr:row>
      <xdr:rowOff>9525</xdr:rowOff>
    </xdr:to>
    <xdr:pic>
      <xdr:nvPicPr>
        <xdr:cNvPr id="4" name="Picture 38"/>
        <xdr:cNvPicPr>
          <a:picLocks noChangeAspect="1" noChangeArrowheads="1"/>
        </xdr:cNvPicPr>
      </xdr:nvPicPr>
      <xdr:blipFill>
        <a:blip xmlns:r="http://schemas.openxmlformats.org/officeDocument/2006/relationships" r:embed="rId2" cstate="print"/>
        <a:srcRect/>
        <a:stretch>
          <a:fillRect/>
        </a:stretch>
      </xdr:blipFill>
      <xdr:spPr bwMode="auto">
        <a:xfrm>
          <a:off x="0" y="0"/>
          <a:ext cx="5869781" cy="1914525"/>
        </a:xfrm>
        <a:prstGeom prst="rect">
          <a:avLst/>
        </a:prstGeom>
        <a:noFill/>
      </xdr:spPr>
    </xdr:pic>
    <xdr:clientData/>
  </xdr:twoCellAnchor>
</xdr:wsDr>
</file>

<file path=xl/drawings/drawing4.xml><?xml version="1.0" encoding="utf-8"?>
<c:userShapes xmlns:c="http://schemas.openxmlformats.org/drawingml/2006/chart">
  <cdr:relSizeAnchor xmlns:cdr="http://schemas.openxmlformats.org/drawingml/2006/chartDrawing">
    <cdr:from>
      <cdr:x>0</cdr:x>
      <cdr:y>0.52775</cdr:y>
    </cdr:from>
    <cdr:to>
      <cdr:x>0</cdr:x>
      <cdr:y>0.53911</cdr:y>
    </cdr:to>
    <cdr:sp macro="" textlink="">
      <cdr:nvSpPr>
        <cdr:cNvPr id="4097" name="Text Box 1"/>
        <cdr:cNvSpPr txBox="1">
          <a:spLocks xmlns:a="http://schemas.openxmlformats.org/drawingml/2006/main" noChangeArrowheads="1"/>
        </cdr:cNvSpPr>
      </cdr:nvSpPr>
      <cdr:spPr bwMode="auto">
        <a:xfrm xmlns:a="http://schemas.openxmlformats.org/drawingml/2006/main">
          <a:off x="10484" y="1220610"/>
          <a:ext cx="339477" cy="109396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vert="vert270" wrap="square" lIns="27432" tIns="22860" rIns="0" bIns="0" anchor="t" upright="1"/>
        <a:lstStyle xmlns:a="http://schemas.openxmlformats.org/drawingml/2006/main"/>
        <a:p xmlns:a="http://schemas.openxmlformats.org/drawingml/2006/main">
          <a:pPr algn="r" rtl="0">
            <a:defRPr sz="1000"/>
          </a:pPr>
          <a:r>
            <a:rPr lang="en-GB" sz="1400" b="1" i="0" strike="noStrike">
              <a:solidFill>
                <a:srgbClr val="000000"/>
              </a:solidFill>
              <a:latin typeface="Arial"/>
              <a:cs typeface="Arial"/>
            </a:rPr>
            <a:t>Proportion</a:t>
          </a:r>
        </a:p>
      </cdr:txBody>
    </cdr:sp>
  </cdr:relSizeAnchor>
  <cdr:relSizeAnchor xmlns:cdr="http://schemas.openxmlformats.org/drawingml/2006/chartDrawing">
    <cdr:from>
      <cdr:x>0.50279</cdr:x>
      <cdr:y>0.9097</cdr:y>
    </cdr:from>
    <cdr:to>
      <cdr:x>0.71911</cdr:x>
      <cdr:y>0.99379</cdr:y>
    </cdr:to>
    <cdr:sp macro="" textlink="">
      <cdr:nvSpPr>
        <cdr:cNvPr id="4098" name="Text Box 2"/>
        <cdr:cNvSpPr txBox="1">
          <a:spLocks xmlns:a="http://schemas.openxmlformats.org/drawingml/2006/main" noChangeArrowheads="1"/>
        </cdr:cNvSpPr>
      </cdr:nvSpPr>
      <cdr:spPr bwMode="auto">
        <a:xfrm xmlns:a="http://schemas.openxmlformats.org/drawingml/2006/main">
          <a:off x="2838699" y="2790091"/>
          <a:ext cx="1221331" cy="25790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400" b="1" i="0" strike="noStrike">
              <a:solidFill>
                <a:srgbClr val="000000"/>
              </a:solidFill>
              <a:latin typeface="Arial"/>
              <a:cs typeface="Arial"/>
            </a:rPr>
            <a:t>Age (yrs)</a:t>
          </a:r>
        </a:p>
      </cdr:txBody>
    </cdr:sp>
  </cdr:relSizeAnchor>
  <cdr:relSizeAnchor xmlns:cdr="http://schemas.openxmlformats.org/drawingml/2006/chartDrawing">
    <cdr:from>
      <cdr:x>0.05483</cdr:x>
      <cdr:y>0.31444</cdr:y>
    </cdr:from>
    <cdr:to>
      <cdr:x>0.10966</cdr:x>
      <cdr:y>0.68711</cdr:y>
    </cdr:to>
    <cdr:sp macro="" textlink="">
      <cdr:nvSpPr>
        <cdr:cNvPr id="4" name="Text Box 2"/>
        <cdr:cNvSpPr txBox="1">
          <a:spLocks xmlns:a="http://schemas.openxmlformats.org/drawingml/2006/main" noChangeArrowheads="1"/>
        </cdr:cNvSpPr>
      </cdr:nvSpPr>
      <cdr:spPr bwMode="auto">
        <a:xfrm xmlns:a="http://schemas.openxmlformats.org/drawingml/2006/main">
          <a:off x="309564" y="964407"/>
          <a:ext cx="309562" cy="114299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vert270" wrap="square" lIns="27432" tIns="22860" rIns="0" bIns="0" anchor="t"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rtl="0">
            <a:defRPr sz="1000"/>
          </a:pPr>
          <a:r>
            <a:rPr lang="en-GB" sz="1400" b="1" i="0" strike="noStrike">
              <a:solidFill>
                <a:srgbClr val="000000"/>
              </a:solidFill>
              <a:latin typeface="Arial"/>
              <a:cs typeface="Arial"/>
            </a:rPr>
            <a:t>Proportion</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sheetPr codeName="Sheet112"/>
  <dimension ref="A1:AD121"/>
  <sheetViews>
    <sheetView zoomScale="80" zoomScaleNormal="80" workbookViewId="0">
      <selection activeCell="J14" sqref="J14"/>
    </sheetView>
  </sheetViews>
  <sheetFormatPr defaultRowHeight="12.75" outlineLevelRow="1" outlineLevelCol="1"/>
  <cols>
    <col min="1" max="1" width="14.42578125" customWidth="1"/>
    <col min="2" max="2" width="17.5703125" customWidth="1"/>
    <col min="3" max="3" width="12" bestFit="1" customWidth="1"/>
    <col min="4" max="4" width="8.28515625" customWidth="1"/>
    <col min="5" max="5" width="13.28515625" bestFit="1" customWidth="1"/>
    <col min="6" max="6" width="12" customWidth="1"/>
    <col min="7" max="7" width="10.5703125" customWidth="1"/>
    <col min="8" max="8" width="15" hidden="1" customWidth="1" outlineLevel="1"/>
    <col min="9" max="9" width="14.42578125" hidden="1" customWidth="1" outlineLevel="1"/>
    <col min="10" max="10" width="9.140625" collapsed="1"/>
    <col min="18" max="18" width="9.85546875" customWidth="1"/>
    <col min="19" max="28" width="9.140625" customWidth="1"/>
  </cols>
  <sheetData>
    <row r="1" spans="1:18" s="1" customFormat="1">
      <c r="A1"/>
      <c r="H1"/>
    </row>
    <row r="2" spans="1:18" s="1" customFormat="1">
      <c r="H2"/>
    </row>
    <row r="3" spans="1:18" s="1" customFormat="1">
      <c r="H3"/>
    </row>
    <row r="4" spans="1:18" s="1" customFormat="1">
      <c r="H4"/>
    </row>
    <row r="5" spans="1:18" s="1" customFormat="1">
      <c r="H5"/>
    </row>
    <row r="6" spans="1:18" s="1" customFormat="1">
      <c r="H6"/>
    </row>
    <row r="7" spans="1:18" s="1" customFormat="1">
      <c r="H7"/>
    </row>
    <row r="8" spans="1:18" s="1" customFormat="1">
      <c r="H8"/>
    </row>
    <row r="9" spans="1:18" s="1" customFormat="1">
      <c r="H9"/>
    </row>
    <row r="10" spans="1:18" s="1" customFormat="1"/>
    <row r="11" spans="1:18" s="1" customFormat="1" ht="18.75" customHeight="1"/>
    <row r="12" spans="1:18" s="1" customFormat="1">
      <c r="A12" s="33"/>
      <c r="B12" s="33"/>
      <c r="C12" s="33"/>
      <c r="D12" s="33"/>
      <c r="E12" s="53"/>
      <c r="F12" s="53"/>
      <c r="G12" s="33"/>
    </row>
    <row r="13" spans="1:18" s="1" customFormat="1">
      <c r="A13" s="53" t="s">
        <v>0</v>
      </c>
      <c r="B13" s="53"/>
      <c r="C13" s="33"/>
      <c r="D13" s="54" t="s">
        <v>1</v>
      </c>
      <c r="E13" s="53" t="s">
        <v>33</v>
      </c>
      <c r="F13" s="53"/>
      <c r="G13" s="33"/>
    </row>
    <row r="14" spans="1:18" s="1" customFormat="1" ht="14.25">
      <c r="A14" s="55" t="s">
        <v>38</v>
      </c>
      <c r="B14" s="56"/>
      <c r="C14" s="33"/>
      <c r="D14" s="57">
        <v>0.18</v>
      </c>
      <c r="E14" s="58" t="s">
        <v>24</v>
      </c>
      <c r="F14" s="58"/>
      <c r="G14" s="33"/>
      <c r="R14" s="49"/>
    </row>
    <row r="15" spans="1:18" s="1" customFormat="1">
      <c r="A15" s="55" t="s">
        <v>26</v>
      </c>
      <c r="B15" s="56"/>
      <c r="C15" s="33"/>
      <c r="D15" s="57">
        <v>0.5</v>
      </c>
      <c r="E15" s="58" t="s">
        <v>25</v>
      </c>
      <c r="F15" s="58"/>
      <c r="G15" s="33"/>
      <c r="R15" s="49"/>
    </row>
    <row r="16" spans="1:18" s="1" customFormat="1">
      <c r="A16" s="33"/>
      <c r="B16" s="33"/>
      <c r="C16" s="33"/>
      <c r="D16" s="57"/>
      <c r="E16" s="58"/>
      <c r="F16" s="58"/>
      <c r="G16" s="33"/>
      <c r="R16" s="49"/>
    </row>
    <row r="17" spans="1:30" s="1" customFormat="1">
      <c r="A17" s="33"/>
      <c r="B17" s="33"/>
      <c r="C17" s="33"/>
      <c r="D17" s="57"/>
      <c r="E17" s="58"/>
      <c r="F17" s="58"/>
      <c r="G17" s="33"/>
      <c r="R17" s="49"/>
    </row>
    <row r="18" spans="1:30" s="1" customFormat="1" hidden="1" outlineLevel="1">
      <c r="A18" s="2" t="s">
        <v>20</v>
      </c>
      <c r="B18" s="2"/>
      <c r="C18" s="3"/>
      <c r="D18" s="4">
        <f>2*(SUM(H37:H79)-SUM(I37:I79))</f>
        <v>461.49327523193051</v>
      </c>
      <c r="E18" s="3"/>
      <c r="F18" s="3"/>
      <c r="G18" s="3"/>
      <c r="H18" s="3"/>
      <c r="I18" s="3"/>
      <c r="R18" s="49"/>
    </row>
    <row r="19" spans="1:30" s="1" customFormat="1" collapsed="1">
      <c r="A19" s="37"/>
      <c r="B19" s="3"/>
      <c r="C19" s="3"/>
      <c r="D19" s="3"/>
      <c r="E19" s="3"/>
      <c r="F19" s="3"/>
      <c r="G19" s="3"/>
      <c r="H19" s="3"/>
      <c r="I19" s="3"/>
      <c r="R19" s="49"/>
    </row>
    <row r="20" spans="1:30" s="1" customFormat="1" hidden="1" outlineLevel="1">
      <c r="A20" s="38" t="s">
        <v>23</v>
      </c>
      <c r="B20" s="35"/>
      <c r="C20" s="35"/>
      <c r="D20" s="5"/>
      <c r="E20" s="3"/>
      <c r="F20" s="3"/>
      <c r="G20" s="3"/>
      <c r="H20" s="3"/>
      <c r="I20" s="3"/>
      <c r="R20" s="50"/>
      <c r="S20" s="23"/>
    </row>
    <row r="21" spans="1:30" s="1" customFormat="1" hidden="1" outlineLevel="1">
      <c r="A21" s="35"/>
      <c r="B21" s="35"/>
      <c r="C21" s="35"/>
      <c r="D21" s="46">
        <f>D18-$C$27</f>
        <v>461.49327523193051</v>
      </c>
      <c r="E21" s="3"/>
      <c r="F21" s="3"/>
      <c r="G21" s="3"/>
      <c r="H21" s="3"/>
      <c r="I21" s="3"/>
      <c r="R21" s="49"/>
      <c r="S21" s="23"/>
    </row>
    <row r="22" spans="1:30" s="1" customFormat="1" ht="13.5" hidden="1" outlineLevel="1" thickBot="1">
      <c r="A22" s="34"/>
      <c r="B22" s="34"/>
      <c r="C22" s="34"/>
      <c r="D22" s="34"/>
      <c r="E22" s="34"/>
      <c r="F22" s="34"/>
      <c r="G22" s="34"/>
      <c r="H22" s="3"/>
      <c r="I22" s="3"/>
      <c r="R22" s="49"/>
      <c r="S22" s="25"/>
    </row>
    <row r="23" spans="1:30" s="1" customFormat="1" hidden="1" outlineLevel="1">
      <c r="A23" s="6" t="s">
        <v>22</v>
      </c>
      <c r="B23" s="7"/>
      <c r="C23" s="7"/>
      <c r="D23" s="62" t="s">
        <v>2</v>
      </c>
      <c r="E23" s="62"/>
      <c r="F23" s="47"/>
      <c r="G23" s="7"/>
      <c r="H23" s="41"/>
      <c r="I23" s="42"/>
      <c r="R23" s="49"/>
      <c r="S23" s="25"/>
    </row>
    <row r="24" spans="1:30" s="1" customFormat="1" hidden="1" outlineLevel="1">
      <c r="A24" s="8"/>
      <c r="B24" s="9"/>
      <c r="C24" s="9" t="s">
        <v>21</v>
      </c>
      <c r="D24" s="9" t="s">
        <v>3</v>
      </c>
      <c r="E24" s="9" t="s">
        <v>4</v>
      </c>
      <c r="F24" s="9"/>
      <c r="G24" s="9"/>
      <c r="H24" s="40"/>
      <c r="I24" s="43"/>
      <c r="R24" s="49"/>
      <c r="S24" s="25"/>
    </row>
    <row r="25" spans="1:30" s="1" customFormat="1" hidden="1" outlineLevel="1">
      <c r="A25" s="8"/>
      <c r="B25" s="9" t="str">
        <f>E14</f>
        <v>foi_pyr_matfix</v>
      </c>
      <c r="C25" s="9"/>
      <c r="D25" s="9"/>
      <c r="E25" s="9"/>
      <c r="F25" s="9"/>
      <c r="G25" s="12"/>
      <c r="H25" s="40"/>
      <c r="I25" s="43"/>
      <c r="R25" s="24"/>
      <c r="S25" s="25"/>
    </row>
    <row r="26" spans="1:30" s="1" customFormat="1" hidden="1" outlineLevel="1">
      <c r="A26" s="8"/>
      <c r="B26" s="9"/>
      <c r="C26" s="9"/>
      <c r="D26" s="9"/>
      <c r="E26" s="9"/>
      <c r="F26" s="9"/>
      <c r="G26" s="12"/>
      <c r="H26" s="40"/>
      <c r="I26" s="43"/>
      <c r="R26" s="24"/>
      <c r="S26" s="25"/>
    </row>
    <row r="27" spans="1:30" s="1" customFormat="1" ht="13.5" hidden="1" outlineLevel="1" thickBot="1">
      <c r="A27" s="10" t="s">
        <v>28</v>
      </c>
      <c r="B27" s="11"/>
      <c r="C27" s="11"/>
      <c r="D27" s="11"/>
      <c r="E27" s="11"/>
      <c r="F27" s="11"/>
      <c r="G27" s="39"/>
      <c r="H27" s="44"/>
      <c r="I27" s="45"/>
      <c r="R27" s="24"/>
      <c r="S27" s="25"/>
    </row>
    <row r="28" spans="1:30" s="1" customFormat="1" hidden="1" outlineLevel="1">
      <c r="A28" s="9"/>
      <c r="B28" s="9"/>
      <c r="C28" s="9"/>
      <c r="D28" s="9"/>
      <c r="E28" s="9"/>
      <c r="F28" s="9"/>
      <c r="G28" s="12"/>
      <c r="H28" s="3"/>
      <c r="I28" s="3"/>
      <c r="R28" s="24"/>
      <c r="S28" s="25"/>
    </row>
    <row r="29" spans="1:30" s="1" customFormat="1" collapsed="1">
      <c r="A29" s="21" t="s">
        <v>32</v>
      </c>
      <c r="B29" s="26"/>
      <c r="C29" s="26"/>
      <c r="D29" s="27"/>
      <c r="E29" s="28"/>
      <c r="F29" s="29"/>
      <c r="G29" s="29"/>
      <c r="H29" s="3"/>
      <c r="I29" s="3"/>
      <c r="R29" s="24"/>
      <c r="S29" s="25"/>
    </row>
    <row r="30" spans="1:30" s="1" customFormat="1">
      <c r="A30" s="21" t="s">
        <v>19</v>
      </c>
      <c r="B30" s="20"/>
      <c r="C30" s="20"/>
      <c r="D30" s="20"/>
      <c r="E30" s="20"/>
      <c r="F30" s="64" t="s">
        <v>34</v>
      </c>
      <c r="G30" s="64"/>
      <c r="H30" s="3"/>
      <c r="I30" s="3"/>
      <c r="R30" s="24"/>
      <c r="S30" s="25"/>
    </row>
    <row r="31" spans="1:30" s="1" customFormat="1">
      <c r="A31" s="18"/>
      <c r="B31" s="63" t="s">
        <v>17</v>
      </c>
      <c r="C31" s="63"/>
      <c r="D31" s="63"/>
      <c r="E31" s="18"/>
      <c r="F31" s="64" t="s">
        <v>35</v>
      </c>
      <c r="G31" s="64"/>
      <c r="H31" s="65" t="s">
        <v>5</v>
      </c>
      <c r="I31" s="65"/>
      <c r="R31" s="24"/>
      <c r="S31" s="25"/>
    </row>
    <row r="32" spans="1:30" ht="13.5" thickBot="1">
      <c r="A32" s="36" t="s">
        <v>6</v>
      </c>
      <c r="B32" s="66" t="s">
        <v>7</v>
      </c>
      <c r="C32" s="66"/>
      <c r="D32" s="66"/>
      <c r="E32" s="36" t="s">
        <v>8</v>
      </c>
      <c r="F32" s="31"/>
      <c r="G32" s="51" t="s">
        <v>36</v>
      </c>
      <c r="H32" s="65" t="s">
        <v>9</v>
      </c>
      <c r="I32" s="65"/>
      <c r="R32" s="24"/>
      <c r="S32" s="25"/>
      <c r="T32" s="1"/>
      <c r="U32" s="1"/>
      <c r="V32" s="1"/>
      <c r="W32" s="1"/>
      <c r="X32" s="1"/>
      <c r="Y32" s="1"/>
      <c r="Z32" s="1"/>
      <c r="AA32" s="1"/>
      <c r="AB32" s="1"/>
      <c r="AC32" s="1"/>
      <c r="AD32" s="1"/>
    </row>
    <row r="33" spans="1:30">
      <c r="A33" s="36" t="s">
        <v>10</v>
      </c>
      <c r="B33" s="19" t="s">
        <v>11</v>
      </c>
      <c r="C33" s="19" t="s">
        <v>12</v>
      </c>
      <c r="D33" s="19" t="s">
        <v>13</v>
      </c>
      <c r="E33" s="36" t="s">
        <v>11</v>
      </c>
      <c r="F33" s="31" t="s">
        <v>18</v>
      </c>
      <c r="G33" s="31" t="s">
        <v>37</v>
      </c>
      <c r="H33" s="13" t="s">
        <v>14</v>
      </c>
      <c r="I33" s="13" t="s">
        <v>15</v>
      </c>
      <c r="R33" s="24"/>
      <c r="S33" s="25"/>
      <c r="T33" s="1"/>
      <c r="U33" s="1"/>
      <c r="V33" s="1"/>
      <c r="W33" s="1"/>
      <c r="X33" s="1"/>
      <c r="Y33" s="1"/>
      <c r="Z33" s="1"/>
      <c r="AA33" s="1"/>
      <c r="AB33" s="1"/>
      <c r="AC33" s="1"/>
      <c r="AD33" s="1"/>
    </row>
    <row r="34" spans="1:30">
      <c r="A34" s="14"/>
      <c r="B34" s="15"/>
      <c r="C34" s="15"/>
      <c r="D34" s="15"/>
      <c r="E34" s="14"/>
      <c r="F34" s="31"/>
      <c r="G34" s="31"/>
      <c r="H34" s="13" t="s">
        <v>16</v>
      </c>
      <c r="I34" s="13" t="s">
        <v>16</v>
      </c>
      <c r="R34" s="24"/>
      <c r="S34" s="25"/>
      <c r="T34" s="1"/>
      <c r="U34" s="1"/>
      <c r="V34" s="1"/>
      <c r="W34" s="1"/>
      <c r="X34" s="1"/>
      <c r="Y34" s="1"/>
      <c r="Z34" s="1"/>
      <c r="AA34" s="1"/>
      <c r="AB34" s="1"/>
      <c r="AC34" s="1"/>
      <c r="AD34" s="1"/>
    </row>
    <row r="35" spans="1:30">
      <c r="A35" s="16">
        <v>0</v>
      </c>
      <c r="B35" s="16"/>
      <c r="C35" s="16"/>
      <c r="D35" s="16"/>
      <c r="E35" s="16"/>
      <c r="F35" s="30">
        <v>0</v>
      </c>
      <c r="G35" s="32">
        <v>0</v>
      </c>
      <c r="H35" s="3"/>
      <c r="I35" s="3"/>
      <c r="R35" s="24"/>
      <c r="S35" s="25"/>
      <c r="T35" s="1"/>
      <c r="U35" s="1"/>
      <c r="V35" s="1"/>
      <c r="W35" s="1"/>
      <c r="X35" s="1"/>
      <c r="Y35" s="1"/>
      <c r="Z35" s="1"/>
      <c r="AA35" s="1"/>
      <c r="AB35" s="1"/>
      <c r="AC35" s="1"/>
      <c r="AD35" s="1"/>
    </row>
    <row r="36" spans="1:30">
      <c r="A36" s="16">
        <v>0.5</v>
      </c>
      <c r="B36" s="16">
        <v>31</v>
      </c>
      <c r="C36" s="16">
        <v>175</v>
      </c>
      <c r="D36" s="16">
        <f>SUM(B36:C36)</f>
        <v>206</v>
      </c>
      <c r="E36" s="16">
        <f>B36/D36</f>
        <v>0.15048543689320387</v>
      </c>
      <c r="F36" s="30">
        <f t="shared" ref="F36:F79" si="0">EXP(-foi_pyr_matfix*(A36-durn_mat))</f>
        <v>1</v>
      </c>
      <c r="G36" s="30">
        <f>1-F36</f>
        <v>0</v>
      </c>
      <c r="H36" s="2">
        <f t="shared" ref="H36:H79" si="1">IF(OR(E36=0,E36=1),0,B36*LN(E36)+C36*LN(1-E36))</f>
        <v>-87.251341994999194</v>
      </c>
      <c r="I36" s="2">
        <f t="shared" ref="I36:I79" si="2">IF(OR(G36=0,G36=1),0,B36*LN(G36)+C36*LN(1-G36))</f>
        <v>0</v>
      </c>
      <c r="R36" s="24"/>
      <c r="S36" s="25"/>
      <c r="T36" s="1"/>
      <c r="U36" s="1"/>
      <c r="V36" s="1"/>
      <c r="W36" s="1"/>
      <c r="X36" s="1"/>
      <c r="Y36" s="1"/>
      <c r="Z36" s="1"/>
      <c r="AA36" s="1"/>
      <c r="AB36" s="1"/>
      <c r="AC36" s="1"/>
      <c r="AD36" s="1"/>
    </row>
    <row r="37" spans="1:30">
      <c r="A37" s="16">
        <f>A36+1</f>
        <v>1.5</v>
      </c>
      <c r="B37" s="16">
        <v>30</v>
      </c>
      <c r="C37" s="16">
        <v>116</v>
      </c>
      <c r="D37" s="16">
        <f t="shared" ref="D37:D79" si="3">SUM(B37:C37)</f>
        <v>146</v>
      </c>
      <c r="E37" s="16">
        <f t="shared" ref="E37:E79" si="4">B37/D37</f>
        <v>0.20547945205479451</v>
      </c>
      <c r="F37" s="30">
        <f t="shared" si="0"/>
        <v>0.835270211411272</v>
      </c>
      <c r="G37" s="30">
        <f t="shared" ref="G37:G79" si="5">1-F37</f>
        <v>0.164729788588728</v>
      </c>
      <c r="H37" s="2">
        <f t="shared" si="1"/>
        <v>-74.154183151214141</v>
      </c>
      <c r="I37" s="2">
        <f t="shared" si="2"/>
        <v>-74.983463772137497</v>
      </c>
      <c r="R37" s="24"/>
      <c r="S37" s="25"/>
      <c r="T37" s="1"/>
      <c r="U37" s="1"/>
      <c r="V37" s="1"/>
      <c r="W37" s="1"/>
      <c r="X37" s="1"/>
      <c r="Y37" s="1"/>
      <c r="Z37" s="1"/>
      <c r="AA37" s="1"/>
      <c r="AB37" s="1"/>
      <c r="AC37" s="1"/>
      <c r="AD37" s="1"/>
    </row>
    <row r="38" spans="1:30">
      <c r="A38" s="16">
        <f t="shared" ref="A38:A79" si="6">A37+1</f>
        <v>2.5</v>
      </c>
      <c r="B38" s="16">
        <v>34</v>
      </c>
      <c r="C38" s="16">
        <v>134</v>
      </c>
      <c r="D38" s="16">
        <f t="shared" si="3"/>
        <v>168</v>
      </c>
      <c r="E38" s="16">
        <f t="shared" si="4"/>
        <v>0.20238095238095238</v>
      </c>
      <c r="F38" s="30">
        <f t="shared" si="0"/>
        <v>0.69767632607103103</v>
      </c>
      <c r="G38" s="30">
        <f t="shared" si="5"/>
        <v>0.30232367392896897</v>
      </c>
      <c r="H38" s="2">
        <f t="shared" si="1"/>
        <v>-84.619157509375881</v>
      </c>
      <c r="I38" s="2">
        <f t="shared" si="2"/>
        <v>-88.91274029716925</v>
      </c>
      <c r="R38" s="24"/>
      <c r="S38" s="25"/>
      <c r="T38" s="1"/>
      <c r="U38" s="1"/>
      <c r="V38" s="1"/>
      <c r="W38" s="1"/>
      <c r="X38" s="1"/>
      <c r="Y38" s="1"/>
      <c r="Z38" s="1"/>
      <c r="AA38" s="1"/>
      <c r="AB38" s="1"/>
      <c r="AC38" s="1"/>
      <c r="AD38" s="1"/>
    </row>
    <row r="39" spans="1:30">
      <c r="A39" s="16">
        <f t="shared" si="6"/>
        <v>3.5</v>
      </c>
      <c r="B39" s="16">
        <v>57</v>
      </c>
      <c r="C39" s="16">
        <v>132</v>
      </c>
      <c r="D39" s="16">
        <f t="shared" si="3"/>
        <v>189</v>
      </c>
      <c r="E39" s="16">
        <f t="shared" si="4"/>
        <v>0.30158730158730157</v>
      </c>
      <c r="F39" s="30">
        <f t="shared" si="0"/>
        <v>0.58274825237398964</v>
      </c>
      <c r="G39" s="30">
        <f t="shared" si="5"/>
        <v>0.41725174762601036</v>
      </c>
      <c r="H39" s="2">
        <f t="shared" si="1"/>
        <v>-115.7064097983021</v>
      </c>
      <c r="I39" s="2">
        <f t="shared" si="2"/>
        <v>-121.10173509659015</v>
      </c>
      <c r="R39" s="24"/>
      <c r="S39" s="25"/>
      <c r="T39" s="1"/>
      <c r="U39" s="1"/>
      <c r="V39" s="1"/>
      <c r="W39" s="1"/>
      <c r="X39" s="1"/>
      <c r="Y39" s="1"/>
      <c r="Z39" s="1"/>
      <c r="AA39" s="1"/>
      <c r="AB39" s="1"/>
      <c r="AC39" s="1"/>
      <c r="AD39" s="1"/>
    </row>
    <row r="40" spans="1:30">
      <c r="A40" s="16">
        <f t="shared" si="6"/>
        <v>4.5</v>
      </c>
      <c r="B40" s="16">
        <v>95</v>
      </c>
      <c r="C40" s="16">
        <v>124</v>
      </c>
      <c r="D40" s="16">
        <f t="shared" si="3"/>
        <v>219</v>
      </c>
      <c r="E40" s="16">
        <f t="shared" si="4"/>
        <v>0.43378995433789952</v>
      </c>
      <c r="F40" s="30">
        <f t="shared" si="0"/>
        <v>0.48675225595997168</v>
      </c>
      <c r="G40" s="30">
        <f t="shared" si="5"/>
        <v>0.51324774404002826</v>
      </c>
      <c r="H40" s="2">
        <f t="shared" si="1"/>
        <v>-149.87348999273775</v>
      </c>
      <c r="I40" s="2">
        <f t="shared" si="2"/>
        <v>-152.64467876068414</v>
      </c>
      <c r="R40" s="24"/>
      <c r="S40" s="25"/>
      <c r="T40" s="1"/>
      <c r="U40" s="1"/>
      <c r="V40" s="1"/>
      <c r="W40" s="1"/>
      <c r="X40" s="1"/>
      <c r="Y40" s="1"/>
      <c r="Z40" s="1"/>
      <c r="AA40" s="1"/>
      <c r="AB40" s="1"/>
      <c r="AC40" s="1"/>
      <c r="AD40" s="1"/>
    </row>
    <row r="41" spans="1:30">
      <c r="A41" s="16">
        <f t="shared" si="6"/>
        <v>5.5</v>
      </c>
      <c r="B41" s="16">
        <v>104</v>
      </c>
      <c r="C41" s="16">
        <v>91</v>
      </c>
      <c r="D41" s="16">
        <f t="shared" si="3"/>
        <v>195</v>
      </c>
      <c r="E41" s="16">
        <f t="shared" si="4"/>
        <v>0.53333333333333333</v>
      </c>
      <c r="F41" s="30">
        <f t="shared" si="0"/>
        <v>0.40656965974059917</v>
      </c>
      <c r="G41" s="30">
        <f t="shared" si="5"/>
        <v>0.59343034025940078</v>
      </c>
      <c r="H41" s="2">
        <f t="shared" si="1"/>
        <v>-134.73004531619452</v>
      </c>
      <c r="I41" s="2">
        <f t="shared" si="2"/>
        <v>-136.17088606250712</v>
      </c>
      <c r="R41" s="24"/>
      <c r="S41" s="25"/>
      <c r="T41" s="1"/>
      <c r="U41" s="1"/>
      <c r="V41" s="1"/>
      <c r="W41" s="1"/>
      <c r="X41" s="1"/>
      <c r="Y41" s="1"/>
      <c r="Z41" s="1"/>
      <c r="AA41" s="1"/>
      <c r="AB41" s="1"/>
      <c r="AC41" s="1"/>
      <c r="AD41" s="1"/>
    </row>
    <row r="42" spans="1:30">
      <c r="A42" s="16">
        <f t="shared" si="6"/>
        <v>6.5</v>
      </c>
      <c r="B42" s="16">
        <v>90</v>
      </c>
      <c r="C42" s="16">
        <v>74</v>
      </c>
      <c r="D42" s="16">
        <f t="shared" si="3"/>
        <v>164</v>
      </c>
      <c r="E42" s="16">
        <f t="shared" si="4"/>
        <v>0.54878048780487809</v>
      </c>
      <c r="F42" s="30">
        <f t="shared" si="0"/>
        <v>0.33959552564493911</v>
      </c>
      <c r="G42" s="30">
        <f t="shared" si="5"/>
        <v>0.66040447435506089</v>
      </c>
      <c r="H42" s="2">
        <f t="shared" si="1"/>
        <v>-112.89440693633613</v>
      </c>
      <c r="I42" s="2">
        <f t="shared" si="2"/>
        <v>-117.26125125655138</v>
      </c>
      <c r="R42" s="24"/>
      <c r="S42" s="25"/>
      <c r="T42" s="1"/>
      <c r="U42" s="1"/>
      <c r="V42" s="1"/>
      <c r="W42" s="1"/>
      <c r="X42" s="1"/>
      <c r="Y42" s="1"/>
      <c r="Z42" s="1"/>
      <c r="AA42" s="1"/>
      <c r="AB42" s="1"/>
      <c r="AC42" s="1"/>
      <c r="AD42" s="1"/>
    </row>
    <row r="43" spans="1:30">
      <c r="A43" s="16">
        <f t="shared" si="6"/>
        <v>7.5</v>
      </c>
      <c r="B43" s="16">
        <v>96</v>
      </c>
      <c r="C43" s="16">
        <v>49</v>
      </c>
      <c r="D43" s="16">
        <f t="shared" si="3"/>
        <v>145</v>
      </c>
      <c r="E43" s="16">
        <f t="shared" si="4"/>
        <v>0.66206896551724137</v>
      </c>
      <c r="F43" s="30">
        <f t="shared" si="0"/>
        <v>0.2836540264997704</v>
      </c>
      <c r="G43" s="30">
        <f t="shared" si="5"/>
        <v>0.71634597350022955</v>
      </c>
      <c r="H43" s="2">
        <f t="shared" si="1"/>
        <v>-92.749771662650303</v>
      </c>
      <c r="I43" s="2">
        <f t="shared" si="2"/>
        <v>-93.764834449340086</v>
      </c>
      <c r="R43" s="24"/>
      <c r="S43" s="25"/>
      <c r="T43" s="1"/>
      <c r="U43" s="1"/>
      <c r="V43" s="1"/>
      <c r="W43" s="1"/>
      <c r="X43" s="1"/>
      <c r="Y43" s="1"/>
      <c r="Z43" s="1"/>
      <c r="AA43" s="1"/>
      <c r="AB43" s="1"/>
      <c r="AC43" s="1"/>
      <c r="AD43" s="1"/>
    </row>
    <row r="44" spans="1:30">
      <c r="A44" s="16">
        <f t="shared" si="6"/>
        <v>8.5</v>
      </c>
      <c r="B44" s="16">
        <v>134</v>
      </c>
      <c r="C44" s="16">
        <v>46</v>
      </c>
      <c r="D44" s="16">
        <f t="shared" si="3"/>
        <v>180</v>
      </c>
      <c r="E44" s="16">
        <f t="shared" si="4"/>
        <v>0.74444444444444446</v>
      </c>
      <c r="F44" s="30">
        <f t="shared" si="0"/>
        <v>0.23692775868212176</v>
      </c>
      <c r="G44" s="30">
        <f t="shared" si="5"/>
        <v>0.76307224131787821</v>
      </c>
      <c r="H44" s="2">
        <f t="shared" si="1"/>
        <v>-102.30419572831737</v>
      </c>
      <c r="I44" s="2">
        <f t="shared" si="2"/>
        <v>-102.47394458814124</v>
      </c>
      <c r="R44" s="24"/>
      <c r="S44" s="25"/>
      <c r="T44" s="1"/>
      <c r="U44" s="1"/>
      <c r="V44" s="1"/>
      <c r="W44" s="1"/>
      <c r="X44" s="1"/>
      <c r="Y44" s="1"/>
      <c r="Z44" s="1"/>
      <c r="AA44" s="1"/>
      <c r="AB44" s="1"/>
      <c r="AC44" s="1"/>
      <c r="AD44" s="1"/>
    </row>
    <row r="45" spans="1:30">
      <c r="A45" s="16">
        <f t="shared" si="6"/>
        <v>9.5</v>
      </c>
      <c r="B45" s="16">
        <v>110</v>
      </c>
      <c r="C45" s="16">
        <v>50</v>
      </c>
      <c r="D45" s="16">
        <f t="shared" si="3"/>
        <v>160</v>
      </c>
      <c r="E45" s="16">
        <f t="shared" si="4"/>
        <v>0.6875</v>
      </c>
      <c r="F45" s="30">
        <f t="shared" si="0"/>
        <v>0.19789869908361471</v>
      </c>
      <c r="G45" s="30">
        <f t="shared" si="5"/>
        <v>0.80210130091638532</v>
      </c>
      <c r="H45" s="2">
        <f t="shared" si="1"/>
        <v>-99.373819928839225</v>
      </c>
      <c r="I45" s="2">
        <f t="shared" si="2"/>
        <v>-105.25724055948027</v>
      </c>
      <c r="R45" s="24"/>
      <c r="S45" s="25"/>
      <c r="T45" s="1"/>
      <c r="U45" s="1"/>
      <c r="V45" s="1"/>
      <c r="W45" s="1"/>
      <c r="X45" s="1"/>
      <c r="Y45" s="1"/>
      <c r="Z45" s="1"/>
      <c r="AA45" s="1"/>
      <c r="AB45" s="1"/>
      <c r="AC45" s="1"/>
      <c r="AD45" s="1"/>
    </row>
    <row r="46" spans="1:30">
      <c r="A46" s="16">
        <f t="shared" si="6"/>
        <v>10.5</v>
      </c>
      <c r="B46" s="16">
        <v>111</v>
      </c>
      <c r="C46" s="16">
        <v>37</v>
      </c>
      <c r="D46" s="16">
        <f t="shared" si="3"/>
        <v>148</v>
      </c>
      <c r="E46" s="16">
        <f t="shared" si="4"/>
        <v>0.75</v>
      </c>
      <c r="F46" s="30">
        <f t="shared" si="0"/>
        <v>0.16529888822158656</v>
      </c>
      <c r="G46" s="30">
        <f t="shared" si="5"/>
        <v>0.83470111177841344</v>
      </c>
      <c r="H46" s="2">
        <f t="shared" si="1"/>
        <v>-83.225601403583624</v>
      </c>
      <c r="I46" s="2">
        <f t="shared" si="2"/>
        <v>-86.65565406760642</v>
      </c>
      <c r="R46" s="24"/>
      <c r="S46" s="25"/>
      <c r="T46" s="1"/>
      <c r="U46" s="1"/>
      <c r="V46" s="1"/>
      <c r="W46" s="1"/>
      <c r="X46" s="1"/>
      <c r="Y46" s="1"/>
      <c r="Z46" s="1"/>
      <c r="AA46" s="1"/>
      <c r="AB46" s="1"/>
      <c r="AC46" s="1"/>
      <c r="AD46" s="1"/>
    </row>
    <row r="47" spans="1:30">
      <c r="A47" s="16">
        <f t="shared" si="6"/>
        <v>11.5</v>
      </c>
      <c r="B47" s="16">
        <v>147</v>
      </c>
      <c r="C47" s="16">
        <v>31</v>
      </c>
      <c r="D47" s="16">
        <f t="shared" si="3"/>
        <v>178</v>
      </c>
      <c r="E47" s="16">
        <f t="shared" si="4"/>
        <v>0.8258426966292135</v>
      </c>
      <c r="F47" s="30">
        <f t="shared" si="0"/>
        <v>0.13806923731089282</v>
      </c>
      <c r="G47" s="30">
        <f t="shared" si="5"/>
        <v>0.86193076268910718</v>
      </c>
      <c r="H47" s="2">
        <f t="shared" si="1"/>
        <v>-82.310278356477383</v>
      </c>
      <c r="I47" s="2">
        <f t="shared" si="2"/>
        <v>-83.221308987864234</v>
      </c>
      <c r="R47" s="24"/>
      <c r="S47" s="25"/>
      <c r="T47" s="1"/>
      <c r="U47" s="1"/>
      <c r="V47" s="1"/>
      <c r="W47" s="1"/>
      <c r="X47" s="1"/>
      <c r="Y47" s="1"/>
      <c r="Z47" s="1"/>
      <c r="AA47" s="1"/>
      <c r="AB47" s="1"/>
      <c r="AC47" s="1"/>
      <c r="AD47" s="1"/>
    </row>
    <row r="48" spans="1:30">
      <c r="A48" s="16">
        <f t="shared" si="6"/>
        <v>12.5</v>
      </c>
      <c r="B48" s="16">
        <v>138</v>
      </c>
      <c r="C48" s="16">
        <v>39</v>
      </c>
      <c r="D48" s="16">
        <f t="shared" si="3"/>
        <v>177</v>
      </c>
      <c r="E48" s="16">
        <f t="shared" si="4"/>
        <v>0.77966101694915257</v>
      </c>
      <c r="F48" s="30">
        <f t="shared" si="0"/>
        <v>0.11532512103806251</v>
      </c>
      <c r="G48" s="30">
        <f t="shared" si="5"/>
        <v>0.88467487896193753</v>
      </c>
      <c r="H48" s="2">
        <f t="shared" si="1"/>
        <v>-93.338589914817305</v>
      </c>
      <c r="I48" s="2">
        <f t="shared" si="2"/>
        <v>-101.14983964276402</v>
      </c>
      <c r="R48" s="24"/>
      <c r="S48" s="25"/>
      <c r="T48" s="1"/>
      <c r="U48" s="1"/>
      <c r="V48" s="1"/>
      <c r="W48" s="1"/>
      <c r="X48" s="1"/>
      <c r="Y48" s="1"/>
      <c r="Z48" s="1"/>
      <c r="AA48" s="1"/>
      <c r="AB48" s="1"/>
      <c r="AC48" s="1"/>
      <c r="AD48" s="1"/>
    </row>
    <row r="49" spans="1:30">
      <c r="A49" s="16">
        <f t="shared" si="6"/>
        <v>13.5</v>
      </c>
      <c r="B49" s="16">
        <v>141</v>
      </c>
      <c r="C49" s="16">
        <v>24</v>
      </c>
      <c r="D49" s="16">
        <f t="shared" si="3"/>
        <v>165</v>
      </c>
      <c r="E49" s="16">
        <f t="shared" si="4"/>
        <v>0.8545454545454545</v>
      </c>
      <c r="F49" s="30">
        <f t="shared" si="0"/>
        <v>9.6327638230493035E-2</v>
      </c>
      <c r="G49" s="30">
        <f t="shared" si="5"/>
        <v>0.90367236176950694</v>
      </c>
      <c r="H49" s="2">
        <f t="shared" si="1"/>
        <v>-68.432566721923379</v>
      </c>
      <c r="I49" s="2">
        <f t="shared" si="2"/>
        <v>-70.441666649667894</v>
      </c>
      <c r="R49" s="24"/>
      <c r="S49" s="25"/>
      <c r="T49" s="1"/>
      <c r="U49" s="1"/>
      <c r="V49" s="1"/>
      <c r="W49" s="1"/>
      <c r="X49" s="1"/>
      <c r="Y49" s="1"/>
      <c r="Z49" s="1"/>
      <c r="AA49" s="1"/>
      <c r="AB49" s="1"/>
      <c r="AC49" s="1"/>
      <c r="AD49" s="1"/>
    </row>
    <row r="50" spans="1:30">
      <c r="A50" s="16">
        <f t="shared" si="6"/>
        <v>14.5</v>
      </c>
      <c r="B50" s="16">
        <v>53</v>
      </c>
      <c r="C50" s="16">
        <v>14</v>
      </c>
      <c r="D50" s="16">
        <f t="shared" si="3"/>
        <v>67</v>
      </c>
      <c r="E50" s="16">
        <f t="shared" si="4"/>
        <v>0.79104477611940294</v>
      </c>
      <c r="F50" s="30">
        <f t="shared" si="0"/>
        <v>8.0459606749532439E-2</v>
      </c>
      <c r="G50" s="30">
        <f t="shared" si="5"/>
        <v>0.91954039325046755</v>
      </c>
      <c r="H50" s="2">
        <f t="shared" si="1"/>
        <v>-34.342131466318648</v>
      </c>
      <c r="I50" s="2">
        <f t="shared" si="2"/>
        <v>-39.725709235004217</v>
      </c>
      <c r="R50" s="24"/>
      <c r="S50" s="25"/>
      <c r="T50" s="1"/>
      <c r="U50" s="1"/>
      <c r="V50" s="1"/>
      <c r="W50" s="1"/>
      <c r="X50" s="1"/>
      <c r="Y50" s="1"/>
      <c r="Z50" s="1"/>
      <c r="AA50" s="1"/>
      <c r="AB50" s="1"/>
      <c r="AC50" s="1"/>
      <c r="AD50" s="1"/>
    </row>
    <row r="51" spans="1:30">
      <c r="A51" s="16">
        <f t="shared" si="6"/>
        <v>15.5</v>
      </c>
      <c r="B51" s="16">
        <v>49</v>
      </c>
      <c r="C51" s="16">
        <v>9</v>
      </c>
      <c r="D51" s="16">
        <f t="shared" si="3"/>
        <v>58</v>
      </c>
      <c r="E51" s="16">
        <f t="shared" si="4"/>
        <v>0.84482758620689657</v>
      </c>
      <c r="F51" s="30">
        <f t="shared" si="0"/>
        <v>6.7205512739749784E-2</v>
      </c>
      <c r="G51" s="30">
        <f t="shared" si="5"/>
        <v>0.93279448726025027</v>
      </c>
      <c r="H51" s="2">
        <f t="shared" si="1"/>
        <v>-25.031478808245645</v>
      </c>
      <c r="I51" s="2">
        <f t="shared" si="2"/>
        <v>-27.708948291078869</v>
      </c>
      <c r="R51" s="24"/>
      <c r="S51" s="25"/>
      <c r="T51" s="1"/>
      <c r="U51" s="1"/>
      <c r="V51" s="1"/>
      <c r="W51" s="1"/>
      <c r="X51" s="1"/>
      <c r="Y51" s="1"/>
      <c r="Z51" s="1"/>
      <c r="AA51" s="1"/>
      <c r="AB51" s="1"/>
      <c r="AC51" s="1"/>
      <c r="AD51" s="1"/>
    </row>
    <row r="52" spans="1:30">
      <c r="A52" s="16">
        <f t="shared" si="6"/>
        <v>16.5</v>
      </c>
      <c r="B52" s="16">
        <v>73</v>
      </c>
      <c r="C52" s="16">
        <v>8</v>
      </c>
      <c r="D52" s="16">
        <f t="shared" si="3"/>
        <v>81</v>
      </c>
      <c r="E52" s="16">
        <f t="shared" si="4"/>
        <v>0.90123456790123457</v>
      </c>
      <c r="F52" s="30">
        <f t="shared" si="0"/>
        <v>5.6134762834133725E-2</v>
      </c>
      <c r="G52" s="30">
        <f t="shared" si="5"/>
        <v>0.94386523716586623</v>
      </c>
      <c r="H52" s="2">
        <f t="shared" si="1"/>
        <v>-26.1113099911963</v>
      </c>
      <c r="I52" s="2">
        <f t="shared" si="2"/>
        <v>-27.25734725948876</v>
      </c>
      <c r="R52" s="24"/>
      <c r="S52" s="25"/>
      <c r="T52" s="1"/>
      <c r="U52" s="1"/>
      <c r="V52" s="1"/>
      <c r="W52" s="1"/>
      <c r="X52" s="1"/>
      <c r="Y52" s="1"/>
      <c r="Z52" s="1"/>
      <c r="AA52" s="1"/>
      <c r="AB52" s="1"/>
      <c r="AC52" s="1"/>
      <c r="AD52" s="1"/>
    </row>
    <row r="53" spans="1:30">
      <c r="A53" s="16">
        <f t="shared" si="6"/>
        <v>17.5</v>
      </c>
      <c r="B53" s="16">
        <v>69</v>
      </c>
      <c r="C53" s="16">
        <v>10</v>
      </c>
      <c r="D53" s="16">
        <f t="shared" si="3"/>
        <v>79</v>
      </c>
      <c r="E53" s="16">
        <f t="shared" si="4"/>
        <v>0.87341772151898733</v>
      </c>
      <c r="F53" s="30">
        <f t="shared" si="0"/>
        <v>4.6887695219988486E-2</v>
      </c>
      <c r="G53" s="30">
        <f t="shared" si="5"/>
        <v>0.95311230478001152</v>
      </c>
      <c r="H53" s="2">
        <f t="shared" si="1"/>
        <v>-30.007180597743343</v>
      </c>
      <c r="I53" s="2">
        <f t="shared" si="2"/>
        <v>-33.913555180659444</v>
      </c>
      <c r="R53" s="24"/>
      <c r="S53" s="25"/>
      <c r="T53" s="1"/>
      <c r="U53" s="1"/>
      <c r="V53" s="1"/>
      <c r="W53" s="1"/>
      <c r="X53" s="1"/>
      <c r="Y53" s="1"/>
      <c r="Z53" s="1"/>
      <c r="AA53" s="1"/>
      <c r="AB53" s="1"/>
      <c r="AC53" s="1"/>
      <c r="AD53" s="1"/>
    </row>
    <row r="54" spans="1:30">
      <c r="A54" s="16">
        <f t="shared" si="6"/>
        <v>18.5</v>
      </c>
      <c r="B54" s="16">
        <v>97</v>
      </c>
      <c r="C54" s="16">
        <v>14</v>
      </c>
      <c r="D54" s="16">
        <f t="shared" si="3"/>
        <v>111</v>
      </c>
      <c r="E54" s="16">
        <f t="shared" si="4"/>
        <v>0.87387387387387383</v>
      </c>
      <c r="F54" s="30">
        <f t="shared" si="0"/>
        <v>3.916389509898708E-2</v>
      </c>
      <c r="G54" s="30">
        <f t="shared" si="5"/>
        <v>0.9608361049010129</v>
      </c>
      <c r="H54" s="2">
        <f t="shared" si="1"/>
        <v>-42.064084816227336</v>
      </c>
      <c r="I54" s="2">
        <f t="shared" si="2"/>
        <v>-49.235288803650839</v>
      </c>
      <c r="R54" s="24"/>
      <c r="S54" s="25"/>
      <c r="T54" s="1"/>
      <c r="U54" s="1"/>
      <c r="V54" s="1"/>
      <c r="W54" s="1"/>
      <c r="X54" s="1"/>
      <c r="Y54" s="1"/>
      <c r="Z54" s="1"/>
      <c r="AA54" s="1"/>
      <c r="AB54" s="1"/>
      <c r="AC54" s="1"/>
      <c r="AD54" s="1"/>
    </row>
    <row r="55" spans="1:30">
      <c r="A55" s="16">
        <f t="shared" si="6"/>
        <v>19.5</v>
      </c>
      <c r="B55" s="16">
        <v>65</v>
      </c>
      <c r="C55" s="16">
        <v>11</v>
      </c>
      <c r="D55" s="16">
        <f t="shared" si="3"/>
        <v>76</v>
      </c>
      <c r="E55" s="16">
        <f t="shared" si="4"/>
        <v>0.85526315789473684</v>
      </c>
      <c r="F55" s="30">
        <f t="shared" si="0"/>
        <v>3.2712434939019819E-2</v>
      </c>
      <c r="G55" s="30">
        <f t="shared" si="5"/>
        <v>0.96728756506098024</v>
      </c>
      <c r="H55" s="2">
        <f t="shared" si="1"/>
        <v>-31.423713317762672</v>
      </c>
      <c r="I55" s="2">
        <f t="shared" si="2"/>
        <v>-39.78186419694984</v>
      </c>
      <c r="R55" s="24"/>
      <c r="S55" s="25"/>
      <c r="T55" s="1"/>
      <c r="U55" s="1"/>
      <c r="V55" s="1"/>
      <c r="W55" s="1"/>
      <c r="X55" s="1"/>
      <c r="Y55" s="1"/>
      <c r="Z55" s="1"/>
      <c r="AA55" s="1"/>
      <c r="AB55" s="1"/>
      <c r="AC55" s="1"/>
      <c r="AD55" s="1"/>
    </row>
    <row r="56" spans="1:30">
      <c r="A56" s="16">
        <f t="shared" si="6"/>
        <v>20.5</v>
      </c>
      <c r="B56" s="16">
        <v>74</v>
      </c>
      <c r="C56" s="16">
        <v>8</v>
      </c>
      <c r="D56" s="16">
        <f t="shared" si="3"/>
        <v>82</v>
      </c>
      <c r="E56" s="16">
        <f t="shared" si="4"/>
        <v>0.90243902439024393</v>
      </c>
      <c r="F56" s="30">
        <f t="shared" si="0"/>
        <v>2.7323722447292569E-2</v>
      </c>
      <c r="G56" s="30">
        <f t="shared" si="5"/>
        <v>0.97267627755270747</v>
      </c>
      <c r="H56" s="2">
        <f t="shared" si="1"/>
        <v>-26.214629045121509</v>
      </c>
      <c r="I56" s="2">
        <f t="shared" si="2"/>
        <v>-30.85009286614147</v>
      </c>
      <c r="R56" s="24"/>
      <c r="S56" s="25"/>
      <c r="T56" s="1"/>
      <c r="U56" s="1"/>
      <c r="V56" s="1"/>
      <c r="W56" s="1"/>
      <c r="X56" s="1"/>
      <c r="Y56" s="1"/>
      <c r="Z56" s="1"/>
      <c r="AA56" s="1"/>
      <c r="AB56" s="1"/>
      <c r="AC56" s="1"/>
      <c r="AD56" s="1"/>
    </row>
    <row r="57" spans="1:30">
      <c r="A57" s="16">
        <f t="shared" si="6"/>
        <v>21.5</v>
      </c>
      <c r="B57" s="16">
        <v>84</v>
      </c>
      <c r="C57" s="16">
        <v>17</v>
      </c>
      <c r="D57" s="16">
        <f t="shared" si="3"/>
        <v>101</v>
      </c>
      <c r="E57" s="16">
        <f t="shared" si="4"/>
        <v>0.83168316831683164</v>
      </c>
      <c r="F57" s="30">
        <f t="shared" si="0"/>
        <v>2.2822691425092981E-2</v>
      </c>
      <c r="G57" s="30">
        <f t="shared" si="5"/>
        <v>0.97717730857490703</v>
      </c>
      <c r="H57" s="2">
        <f t="shared" si="1"/>
        <v>-45.773934249173188</v>
      </c>
      <c r="I57" s="2">
        <f t="shared" si="2"/>
        <v>-66.199321501225697</v>
      </c>
      <c r="R57" s="24"/>
      <c r="S57" s="25"/>
      <c r="T57" s="1"/>
      <c r="U57" s="1"/>
      <c r="V57" s="1"/>
      <c r="W57" s="1"/>
      <c r="X57" s="1"/>
      <c r="Y57" s="1"/>
      <c r="Z57" s="1"/>
      <c r="AA57" s="1"/>
      <c r="AB57" s="1"/>
      <c r="AC57" s="1"/>
      <c r="AD57" s="1"/>
    </row>
    <row r="58" spans="1:30">
      <c r="A58" s="16">
        <f t="shared" si="6"/>
        <v>22.5</v>
      </c>
      <c r="B58" s="16">
        <v>82</v>
      </c>
      <c r="C58" s="16">
        <v>6</v>
      </c>
      <c r="D58" s="16">
        <f t="shared" si="3"/>
        <v>88</v>
      </c>
      <c r="E58" s="16">
        <f t="shared" si="4"/>
        <v>0.93181818181818177</v>
      </c>
      <c r="F58" s="30">
        <f t="shared" si="0"/>
        <v>1.9063114291611637E-2</v>
      </c>
      <c r="G58" s="30">
        <f t="shared" si="5"/>
        <v>0.98093688570838833</v>
      </c>
      <c r="H58" s="2">
        <f t="shared" si="1"/>
        <v>-21.904104583045083</v>
      </c>
      <c r="I58" s="2">
        <f t="shared" si="2"/>
        <v>-25.338266970363474</v>
      </c>
      <c r="R58" s="24"/>
      <c r="S58" s="25"/>
      <c r="T58" s="1"/>
      <c r="U58" s="1"/>
      <c r="V58" s="1"/>
      <c r="W58" s="1"/>
      <c r="X58" s="1"/>
      <c r="Y58" s="1"/>
      <c r="Z58" s="1"/>
      <c r="AA58" s="1"/>
      <c r="AB58" s="1"/>
      <c r="AC58" s="1"/>
      <c r="AD58" s="1"/>
    </row>
    <row r="59" spans="1:30">
      <c r="A59" s="16">
        <f t="shared" si="6"/>
        <v>23.5</v>
      </c>
      <c r="B59" s="16">
        <v>79</v>
      </c>
      <c r="C59" s="16">
        <v>6</v>
      </c>
      <c r="D59" s="16">
        <f t="shared" si="3"/>
        <v>85</v>
      </c>
      <c r="E59" s="16">
        <f t="shared" si="4"/>
        <v>0.92941176470588238</v>
      </c>
      <c r="F59" s="30">
        <f t="shared" si="0"/>
        <v>1.5922851504511698E-2</v>
      </c>
      <c r="G59" s="30">
        <f t="shared" si="5"/>
        <v>0.98407714849548833</v>
      </c>
      <c r="H59" s="2">
        <f t="shared" si="1"/>
        <v>-21.688419641413869</v>
      </c>
      <c r="I59" s="2">
        <f t="shared" si="2"/>
        <v>-26.108027582792488</v>
      </c>
      <c r="R59" s="24"/>
      <c r="S59" s="25"/>
      <c r="T59" s="1"/>
      <c r="U59" s="1"/>
      <c r="V59" s="1"/>
      <c r="W59" s="1"/>
      <c r="X59" s="1"/>
      <c r="Y59" s="1"/>
      <c r="Z59" s="1"/>
      <c r="AA59" s="1"/>
      <c r="AB59" s="1"/>
      <c r="AC59" s="1"/>
      <c r="AD59" s="1"/>
    </row>
    <row r="60" spans="1:30">
      <c r="A60" s="16">
        <f t="shared" si="6"/>
        <v>24.5</v>
      </c>
      <c r="B60" s="16">
        <v>90</v>
      </c>
      <c r="C60" s="16">
        <v>4</v>
      </c>
      <c r="D60" s="16">
        <f t="shared" si="3"/>
        <v>94</v>
      </c>
      <c r="E60" s="16">
        <f t="shared" si="4"/>
        <v>0.95744680851063835</v>
      </c>
      <c r="F60" s="30">
        <f t="shared" si="0"/>
        <v>1.3299883542443767E-2</v>
      </c>
      <c r="G60" s="30">
        <f t="shared" si="5"/>
        <v>0.98670011645755629</v>
      </c>
      <c r="H60" s="2">
        <f t="shared" si="1"/>
        <v>-16.541661759176947</v>
      </c>
      <c r="I60" s="2">
        <f t="shared" si="2"/>
        <v>-18.485020718253324</v>
      </c>
      <c r="R60" s="24"/>
      <c r="S60" s="25"/>
      <c r="T60" s="1"/>
      <c r="U60" s="1"/>
      <c r="V60" s="1"/>
      <c r="W60" s="1"/>
      <c r="X60" s="1"/>
      <c r="Y60" s="1"/>
      <c r="Z60" s="1"/>
      <c r="AA60" s="1"/>
      <c r="AB60" s="1"/>
      <c r="AC60" s="1"/>
      <c r="AD60" s="1"/>
    </row>
    <row r="61" spans="1:30">
      <c r="A61" s="16">
        <f t="shared" si="6"/>
        <v>25.5</v>
      </c>
      <c r="B61" s="16">
        <v>84</v>
      </c>
      <c r="C61" s="16">
        <v>7</v>
      </c>
      <c r="D61" s="16">
        <f t="shared" si="3"/>
        <v>91</v>
      </c>
      <c r="E61" s="16">
        <f t="shared" si="4"/>
        <v>0.92307692307692313</v>
      </c>
      <c r="F61" s="30">
        <f t="shared" si="0"/>
        <v>1.1108996538242306E-2</v>
      </c>
      <c r="G61" s="30">
        <f t="shared" si="5"/>
        <v>0.98889100346175773</v>
      </c>
      <c r="H61" s="2">
        <f t="shared" si="1"/>
        <v>-24.678232946807817</v>
      </c>
      <c r="I61" s="2">
        <f t="shared" si="2"/>
        <v>-32.438377630536962</v>
      </c>
      <c r="R61" s="24"/>
      <c r="S61" s="25"/>
      <c r="T61" s="1"/>
      <c r="U61" s="1"/>
      <c r="V61" s="1"/>
      <c r="W61" s="1"/>
      <c r="X61" s="1"/>
      <c r="Y61" s="1"/>
      <c r="Z61" s="1"/>
      <c r="AA61" s="1"/>
      <c r="AB61" s="1"/>
      <c r="AC61" s="1"/>
      <c r="AD61" s="1"/>
    </row>
    <row r="62" spans="1:30">
      <c r="A62" s="16">
        <f t="shared" si="6"/>
        <v>26.5</v>
      </c>
      <c r="B62" s="16">
        <v>81</v>
      </c>
      <c r="C62" s="16">
        <v>8</v>
      </c>
      <c r="D62" s="16">
        <f t="shared" si="3"/>
        <v>89</v>
      </c>
      <c r="E62" s="16">
        <f t="shared" si="4"/>
        <v>0.9101123595505618</v>
      </c>
      <c r="F62" s="30">
        <f t="shared" si="0"/>
        <v>9.2790138870647437E-3</v>
      </c>
      <c r="G62" s="30">
        <f t="shared" si="5"/>
        <v>0.99072098611293524</v>
      </c>
      <c r="H62" s="2">
        <f t="shared" si="1"/>
        <v>-26.902723044254216</v>
      </c>
      <c r="I62" s="2">
        <f t="shared" si="2"/>
        <v>-38.195108901039447</v>
      </c>
      <c r="R62" s="24"/>
      <c r="S62" s="25"/>
      <c r="T62" s="1"/>
      <c r="U62" s="1"/>
      <c r="V62" s="1"/>
      <c r="W62" s="1"/>
      <c r="X62" s="1"/>
      <c r="Y62" s="1"/>
      <c r="Z62" s="1"/>
      <c r="AA62" s="1"/>
      <c r="AB62" s="1"/>
      <c r="AC62" s="1"/>
      <c r="AD62" s="1"/>
    </row>
    <row r="63" spans="1:30">
      <c r="A63" s="16">
        <f t="shared" si="6"/>
        <v>27.5</v>
      </c>
      <c r="B63" s="16">
        <v>72</v>
      </c>
      <c r="C63" s="16">
        <v>4</v>
      </c>
      <c r="D63" s="16">
        <f t="shared" si="3"/>
        <v>76</v>
      </c>
      <c r="E63" s="16">
        <f t="shared" si="4"/>
        <v>0.94736842105263153</v>
      </c>
      <c r="F63" s="30">
        <f t="shared" si="0"/>
        <v>7.750483891136699E-3</v>
      </c>
      <c r="G63" s="30">
        <f t="shared" si="5"/>
        <v>0.99224951610886325</v>
      </c>
      <c r="H63" s="2">
        <f t="shared" si="1"/>
        <v>-15.670595848125616</v>
      </c>
      <c r="I63" s="2">
        <f t="shared" si="2"/>
        <v>-20.000208599255853</v>
      </c>
      <c r="R63" s="24"/>
      <c r="S63" s="25"/>
      <c r="T63" s="1"/>
      <c r="U63" s="1"/>
      <c r="V63" s="1"/>
      <c r="W63" s="1"/>
      <c r="X63" s="1"/>
      <c r="Y63" s="1"/>
      <c r="Z63" s="1"/>
      <c r="AA63" s="1"/>
      <c r="AB63" s="1"/>
      <c r="AC63" s="1"/>
      <c r="AD63" s="1"/>
    </row>
    <row r="64" spans="1:30">
      <c r="A64" s="16">
        <f t="shared" si="6"/>
        <v>28.5</v>
      </c>
      <c r="B64" s="16">
        <v>71</v>
      </c>
      <c r="C64" s="16">
        <v>8</v>
      </c>
      <c r="D64" s="16">
        <f t="shared" si="3"/>
        <v>79</v>
      </c>
      <c r="E64" s="16">
        <f t="shared" si="4"/>
        <v>0.89873417721518989</v>
      </c>
      <c r="F64" s="30">
        <f t="shared" si="0"/>
        <v>6.4737483182894049E-3</v>
      </c>
      <c r="G64" s="30">
        <f t="shared" si="5"/>
        <v>0.9935262516817106</v>
      </c>
      <c r="H64" s="2">
        <f t="shared" si="1"/>
        <v>-25.900576741522617</v>
      </c>
      <c r="I64" s="2">
        <f t="shared" si="2"/>
        <v>-40.781130367278195</v>
      </c>
      <c r="R64" s="24"/>
      <c r="S64" s="25"/>
      <c r="T64" s="1"/>
      <c r="U64" s="1"/>
      <c r="V64" s="1"/>
      <c r="W64" s="1"/>
      <c r="X64" s="1"/>
      <c r="Y64" s="1"/>
      <c r="Z64" s="1"/>
      <c r="AA64" s="1"/>
      <c r="AB64" s="1"/>
      <c r="AC64" s="1"/>
      <c r="AD64" s="1"/>
    </row>
    <row r="65" spans="1:30">
      <c r="A65" s="16">
        <f t="shared" si="6"/>
        <v>29.5</v>
      </c>
      <c r="B65" s="16">
        <v>51</v>
      </c>
      <c r="C65" s="16">
        <v>5</v>
      </c>
      <c r="D65" s="16">
        <f t="shared" si="3"/>
        <v>56</v>
      </c>
      <c r="E65" s="16">
        <f t="shared" si="4"/>
        <v>0.9107142857142857</v>
      </c>
      <c r="F65" s="30">
        <f t="shared" si="0"/>
        <v>5.4073291264409599E-3</v>
      </c>
      <c r="G65" s="30">
        <f t="shared" si="5"/>
        <v>0.99459267087355907</v>
      </c>
      <c r="H65" s="2">
        <f t="shared" si="1"/>
        <v>-16.84939785005724</v>
      </c>
      <c r="I65" s="2">
        <f t="shared" si="2"/>
        <v>-26.376522084009821</v>
      </c>
      <c r="R65" s="24"/>
      <c r="S65" s="25"/>
      <c r="T65" s="1"/>
      <c r="U65" s="1"/>
      <c r="V65" s="1"/>
      <c r="W65" s="1"/>
      <c r="X65" s="1"/>
      <c r="Y65" s="1"/>
      <c r="Z65" s="1"/>
      <c r="AA65" s="1"/>
      <c r="AB65" s="1"/>
      <c r="AC65" s="1"/>
      <c r="AD65" s="1"/>
    </row>
    <row r="66" spans="1:30">
      <c r="A66" s="16">
        <f t="shared" si="6"/>
        <v>30.5</v>
      </c>
      <c r="B66" s="16">
        <v>45</v>
      </c>
      <c r="C66" s="16">
        <v>7</v>
      </c>
      <c r="D66" s="16">
        <f t="shared" si="3"/>
        <v>52</v>
      </c>
      <c r="E66" s="16">
        <f t="shared" si="4"/>
        <v>0.86538461538461542</v>
      </c>
      <c r="F66" s="30">
        <f t="shared" si="0"/>
        <v>4.5165809426126703E-3</v>
      </c>
      <c r="G66" s="30">
        <f t="shared" si="5"/>
        <v>0.99548341905738735</v>
      </c>
      <c r="H66" s="2">
        <f t="shared" si="1"/>
        <v>-20.543490283182642</v>
      </c>
      <c r="I66" s="2">
        <f t="shared" si="2"/>
        <v>-38.003706517983034</v>
      </c>
      <c r="R66" s="24"/>
      <c r="S66" s="25"/>
      <c r="T66" s="1"/>
      <c r="U66" s="1"/>
      <c r="V66" s="1"/>
      <c r="W66" s="1"/>
      <c r="X66" s="1"/>
      <c r="Y66" s="1"/>
      <c r="Z66" s="1"/>
      <c r="AA66" s="1"/>
      <c r="AB66" s="1"/>
      <c r="AC66" s="1"/>
      <c r="AD66" s="1"/>
    </row>
    <row r="67" spans="1:30">
      <c r="A67" s="16">
        <f t="shared" si="6"/>
        <v>31.5</v>
      </c>
      <c r="B67" s="16">
        <v>45</v>
      </c>
      <c r="C67" s="16">
        <v>3</v>
      </c>
      <c r="D67" s="16">
        <f t="shared" si="3"/>
        <v>48</v>
      </c>
      <c r="E67" s="16">
        <f t="shared" si="4"/>
        <v>0.9375</v>
      </c>
      <c r="F67" s="30">
        <f t="shared" si="0"/>
        <v>3.7725655187922052E-3</v>
      </c>
      <c r="G67" s="30">
        <f t="shared" si="5"/>
        <v>0.99622743448120776</v>
      </c>
      <c r="H67" s="2">
        <f t="shared" si="1"/>
        <v>-11.221999617910047</v>
      </c>
      <c r="I67" s="2">
        <f t="shared" si="2"/>
        <v>-16.910086481651117</v>
      </c>
      <c r="R67" s="24"/>
      <c r="S67" s="25"/>
      <c r="T67" s="1"/>
      <c r="U67" s="1"/>
      <c r="V67" s="1"/>
      <c r="W67" s="1"/>
      <c r="X67" s="1"/>
      <c r="Y67" s="1"/>
      <c r="Z67" s="1"/>
      <c r="AA67" s="1"/>
      <c r="AB67" s="1"/>
      <c r="AC67" s="1"/>
      <c r="AD67" s="1"/>
    </row>
    <row r="68" spans="1:30">
      <c r="A68" s="16">
        <f t="shared" si="6"/>
        <v>32.5</v>
      </c>
      <c r="B68" s="16">
        <v>35</v>
      </c>
      <c r="C68" s="16">
        <v>2</v>
      </c>
      <c r="D68" s="16">
        <f t="shared" si="3"/>
        <v>37</v>
      </c>
      <c r="E68" s="16">
        <f t="shared" si="4"/>
        <v>0.94594594594594594</v>
      </c>
      <c r="F68" s="30">
        <f t="shared" si="0"/>
        <v>3.1511115984444414E-3</v>
      </c>
      <c r="G68" s="30">
        <f t="shared" si="5"/>
        <v>0.99684888840155561</v>
      </c>
      <c r="H68" s="2">
        <f t="shared" si="1"/>
        <v>-7.7804862545869344</v>
      </c>
      <c r="I68" s="2">
        <f t="shared" si="2"/>
        <v>-11.630463038173882</v>
      </c>
      <c r="R68" s="24"/>
      <c r="S68" s="25"/>
      <c r="T68" s="1"/>
      <c r="U68" s="1"/>
      <c r="V68" s="1"/>
      <c r="W68" s="1"/>
      <c r="X68" s="1"/>
      <c r="Y68" s="1"/>
      <c r="Z68" s="1"/>
      <c r="AA68" s="1"/>
      <c r="AB68" s="1"/>
      <c r="AC68" s="1"/>
      <c r="AD68" s="1"/>
    </row>
    <row r="69" spans="1:30">
      <c r="A69" s="16">
        <f t="shared" si="6"/>
        <v>33.5</v>
      </c>
      <c r="B69" s="16">
        <v>39</v>
      </c>
      <c r="C69" s="16">
        <v>2</v>
      </c>
      <c r="D69" s="16">
        <f t="shared" si="3"/>
        <v>41</v>
      </c>
      <c r="E69" s="16">
        <f t="shared" si="4"/>
        <v>0.95121951219512191</v>
      </c>
      <c r="F69" s="30">
        <f t="shared" si="0"/>
        <v>2.6320296510132005E-3</v>
      </c>
      <c r="G69" s="30">
        <f t="shared" si="5"/>
        <v>0.99736797034898683</v>
      </c>
      <c r="H69" s="2">
        <f t="shared" si="1"/>
        <v>-7.9912561747005189</v>
      </c>
      <c r="I69" s="2">
        <f t="shared" si="2"/>
        <v>-11.982784481706826</v>
      </c>
      <c r="R69" s="24"/>
      <c r="S69" s="25"/>
      <c r="T69" s="1"/>
      <c r="U69" s="1"/>
      <c r="V69" s="1"/>
      <c r="W69" s="1"/>
      <c r="X69" s="1"/>
      <c r="Y69" s="1"/>
      <c r="Z69" s="1"/>
      <c r="AA69" s="1"/>
      <c r="AB69" s="1"/>
      <c r="AC69" s="1"/>
      <c r="AD69" s="1"/>
    </row>
    <row r="70" spans="1:30">
      <c r="A70" s="16">
        <f t="shared" si="6"/>
        <v>34.5</v>
      </c>
      <c r="B70" s="16">
        <v>36</v>
      </c>
      <c r="C70" s="16">
        <v>4</v>
      </c>
      <c r="D70" s="16">
        <f t="shared" si="3"/>
        <v>40</v>
      </c>
      <c r="E70" s="16">
        <f t="shared" si="4"/>
        <v>0.9</v>
      </c>
      <c r="F70" s="30">
        <f t="shared" si="0"/>
        <v>2.1984559630425313E-3</v>
      </c>
      <c r="G70" s="30">
        <f t="shared" si="5"/>
        <v>0.99780154403695742</v>
      </c>
      <c r="H70" s="2">
        <f t="shared" si="1"/>
        <v>-13.00331893565793</v>
      </c>
      <c r="I70" s="2">
        <f t="shared" si="2"/>
        <v>-24.559231540142399</v>
      </c>
      <c r="R70" s="24"/>
      <c r="S70" s="25"/>
      <c r="T70" s="1"/>
      <c r="U70" s="1"/>
      <c r="V70" s="1"/>
      <c r="W70" s="1"/>
      <c r="X70" s="1"/>
      <c r="Y70" s="1"/>
      <c r="Z70" s="1"/>
      <c r="AA70" s="1"/>
      <c r="AB70" s="1"/>
      <c r="AC70" s="1"/>
      <c r="AD70" s="1"/>
    </row>
    <row r="71" spans="1:30">
      <c r="A71" s="16">
        <f t="shared" si="6"/>
        <v>35.5</v>
      </c>
      <c r="B71" s="16">
        <v>37</v>
      </c>
      <c r="C71" s="16">
        <v>1</v>
      </c>
      <c r="D71" s="16">
        <f t="shared" si="3"/>
        <v>38</v>
      </c>
      <c r="E71" s="16">
        <f t="shared" si="4"/>
        <v>0.97368421052631582</v>
      </c>
      <c r="F71" s="30">
        <f t="shared" si="0"/>
        <v>1.8363047770289071E-3</v>
      </c>
      <c r="G71" s="30">
        <f t="shared" si="5"/>
        <v>0.9981636952229711</v>
      </c>
      <c r="H71" s="2">
        <f t="shared" si="1"/>
        <v>-4.6243113017663546</v>
      </c>
      <c r="I71" s="2">
        <f t="shared" si="2"/>
        <v>-6.368005735505827</v>
      </c>
      <c r="R71" s="24"/>
      <c r="S71" s="25"/>
      <c r="T71" s="1"/>
      <c r="U71" s="1"/>
      <c r="V71" s="1"/>
      <c r="W71" s="1"/>
      <c r="X71" s="1"/>
      <c r="Y71" s="1"/>
      <c r="Z71" s="1"/>
      <c r="AA71" s="1"/>
      <c r="AB71" s="1"/>
      <c r="AC71" s="1"/>
      <c r="AD71" s="1"/>
    </row>
    <row r="72" spans="1:30">
      <c r="A72" s="16">
        <f t="shared" si="6"/>
        <v>36.5</v>
      </c>
      <c r="B72" s="16">
        <v>37</v>
      </c>
      <c r="C72" s="16">
        <v>2</v>
      </c>
      <c r="D72" s="16">
        <f t="shared" si="3"/>
        <v>39</v>
      </c>
      <c r="E72" s="16">
        <f t="shared" si="4"/>
        <v>0.94871794871794868</v>
      </c>
      <c r="F72" s="30">
        <f t="shared" si="0"/>
        <v>1.5338106793244643E-3</v>
      </c>
      <c r="G72" s="30">
        <f t="shared" si="5"/>
        <v>0.99846618932067555</v>
      </c>
      <c r="H72" s="2">
        <f t="shared" si="1"/>
        <v>-7.8886470701000162</v>
      </c>
      <c r="I72" s="2">
        <f t="shared" si="2"/>
        <v>-13.016794562331135</v>
      </c>
      <c r="R72" s="24"/>
      <c r="S72" s="25"/>
      <c r="T72" s="1"/>
      <c r="U72" s="1"/>
      <c r="V72" s="1"/>
      <c r="W72" s="1"/>
      <c r="X72" s="1"/>
      <c r="Y72" s="1"/>
      <c r="Z72" s="1"/>
      <c r="AA72" s="1"/>
      <c r="AB72" s="1"/>
      <c r="AC72" s="1"/>
      <c r="AD72" s="1"/>
    </row>
    <row r="73" spans="1:30">
      <c r="A73" s="16">
        <f t="shared" si="6"/>
        <v>37.5</v>
      </c>
      <c r="B73" s="16">
        <v>37</v>
      </c>
      <c r="C73" s="16">
        <v>4</v>
      </c>
      <c r="D73" s="16">
        <f t="shared" si="3"/>
        <v>41</v>
      </c>
      <c r="E73" s="16">
        <f t="shared" si="4"/>
        <v>0.90243902439024393</v>
      </c>
      <c r="F73" s="30">
        <f t="shared" si="0"/>
        <v>1.2811463703842113E-3</v>
      </c>
      <c r="G73" s="30">
        <f t="shared" si="5"/>
        <v>0.99871885362961577</v>
      </c>
      <c r="H73" s="2">
        <f t="shared" si="1"/>
        <v>-13.107314522560754</v>
      </c>
      <c r="I73" s="2">
        <f t="shared" si="2"/>
        <v>-26.687432806379935</v>
      </c>
      <c r="R73" s="24"/>
      <c r="S73" s="25"/>
      <c r="T73" s="1"/>
      <c r="U73" s="1"/>
      <c r="V73" s="1"/>
      <c r="W73" s="1"/>
      <c r="X73" s="1"/>
      <c r="Y73" s="1"/>
      <c r="Z73" s="1"/>
      <c r="AA73" s="1"/>
      <c r="AB73" s="1"/>
      <c r="AC73" s="1"/>
      <c r="AD73" s="1"/>
    </row>
    <row r="74" spans="1:30">
      <c r="A74" s="16">
        <f t="shared" si="6"/>
        <v>38.5</v>
      </c>
      <c r="B74" s="16">
        <v>28</v>
      </c>
      <c r="C74" s="16">
        <v>2</v>
      </c>
      <c r="D74" s="16">
        <f t="shared" si="3"/>
        <v>30</v>
      </c>
      <c r="E74" s="16">
        <f t="shared" si="4"/>
        <v>0.93333333333333335</v>
      </c>
      <c r="F74" s="30">
        <f t="shared" si="0"/>
        <v>1.0701033996396044E-3</v>
      </c>
      <c r="G74" s="30">
        <f t="shared" si="5"/>
        <v>0.99892989660036036</v>
      </c>
      <c r="H74" s="2">
        <f t="shared" si="1"/>
        <v>-7.3479008038390612</v>
      </c>
      <c r="I74" s="2">
        <f t="shared" si="2"/>
        <v>-13.709978938334077</v>
      </c>
      <c r="R74" s="24"/>
      <c r="S74" s="25"/>
      <c r="T74" s="1"/>
      <c r="U74" s="1"/>
      <c r="V74" s="1"/>
      <c r="W74" s="1"/>
      <c r="X74" s="1"/>
      <c r="Y74" s="1"/>
      <c r="Z74" s="1"/>
      <c r="AA74" s="1"/>
      <c r="AB74" s="1"/>
      <c r="AC74" s="1"/>
      <c r="AD74" s="1"/>
    </row>
    <row r="75" spans="1:30">
      <c r="A75" s="16">
        <f t="shared" si="6"/>
        <v>39.5</v>
      </c>
      <c r="B75" s="16">
        <v>26</v>
      </c>
      <c r="C75" s="16">
        <v>1</v>
      </c>
      <c r="D75" s="16">
        <f t="shared" si="3"/>
        <v>27</v>
      </c>
      <c r="E75" s="16">
        <f t="shared" si="4"/>
        <v>0.96296296296296291</v>
      </c>
      <c r="F75" s="30">
        <f t="shared" si="0"/>
        <v>8.9382549284889353E-4</v>
      </c>
      <c r="G75" s="30">
        <f t="shared" si="5"/>
        <v>0.99910617450715111</v>
      </c>
      <c r="H75" s="2">
        <f t="shared" si="1"/>
        <v>-4.2770853935583517</v>
      </c>
      <c r="I75" s="2">
        <f t="shared" si="2"/>
        <v>-7.0432498550192353</v>
      </c>
      <c r="R75" s="24"/>
      <c r="S75" s="25"/>
      <c r="T75" s="1"/>
      <c r="U75" s="1"/>
      <c r="V75" s="1"/>
      <c r="W75" s="1"/>
      <c r="X75" s="1"/>
      <c r="Y75" s="1"/>
      <c r="Z75" s="1"/>
      <c r="AA75" s="1"/>
      <c r="AB75" s="1"/>
      <c r="AC75" s="1"/>
      <c r="AD75" s="1"/>
    </row>
    <row r="76" spans="1:30">
      <c r="A76" s="16">
        <f t="shared" si="6"/>
        <v>40.5</v>
      </c>
      <c r="B76" s="16">
        <v>25</v>
      </c>
      <c r="C76" s="16">
        <v>0</v>
      </c>
      <c r="D76" s="16">
        <f t="shared" si="3"/>
        <v>25</v>
      </c>
      <c r="E76" s="16">
        <f t="shared" si="4"/>
        <v>1</v>
      </c>
      <c r="F76" s="30">
        <f t="shared" si="0"/>
        <v>7.4658580837667985E-4</v>
      </c>
      <c r="G76" s="30">
        <f t="shared" si="5"/>
        <v>0.99925341419162328</v>
      </c>
      <c r="H76" s="2">
        <f t="shared" si="1"/>
        <v>0</v>
      </c>
      <c r="I76" s="2">
        <f t="shared" si="2"/>
        <v>-1.8671616058807985E-2</v>
      </c>
      <c r="R76" s="24"/>
      <c r="S76" s="25"/>
      <c r="T76" s="1"/>
      <c r="U76" s="1"/>
      <c r="V76" s="1"/>
      <c r="W76" s="1"/>
      <c r="X76" s="1"/>
      <c r="Y76" s="1"/>
      <c r="Z76" s="1"/>
      <c r="AA76" s="1"/>
      <c r="AB76" s="1"/>
      <c r="AC76" s="1"/>
      <c r="AD76" s="1"/>
    </row>
    <row r="77" spans="1:30">
      <c r="A77" s="16">
        <f t="shared" si="6"/>
        <v>41.5</v>
      </c>
      <c r="B77" s="16">
        <v>21</v>
      </c>
      <c r="C77" s="16">
        <v>1</v>
      </c>
      <c r="D77" s="16">
        <f t="shared" si="3"/>
        <v>22</v>
      </c>
      <c r="E77" s="16">
        <f t="shared" si="4"/>
        <v>0.95454545454545459</v>
      </c>
      <c r="F77" s="30">
        <f t="shared" si="0"/>
        <v>6.2360088599944447E-4</v>
      </c>
      <c r="G77" s="30">
        <f t="shared" si="5"/>
        <v>0.99937639911400056</v>
      </c>
      <c r="H77" s="2">
        <f t="shared" si="1"/>
        <v>-4.0679627816910662</v>
      </c>
      <c r="I77" s="2">
        <f t="shared" si="2"/>
        <v>-7.393099703524002</v>
      </c>
      <c r="R77" s="24"/>
      <c r="S77" s="25"/>
      <c r="T77" s="1"/>
      <c r="U77" s="1"/>
      <c r="V77" s="1"/>
      <c r="W77" s="1"/>
      <c r="X77" s="1"/>
      <c r="Y77" s="1"/>
      <c r="Z77" s="1"/>
      <c r="AA77" s="1"/>
      <c r="AB77" s="1"/>
      <c r="AC77" s="1"/>
      <c r="AD77" s="1"/>
    </row>
    <row r="78" spans="1:30">
      <c r="A78" s="16">
        <f t="shared" si="6"/>
        <v>42.5</v>
      </c>
      <c r="B78" s="16">
        <v>18</v>
      </c>
      <c r="C78" s="16">
        <v>1</v>
      </c>
      <c r="D78" s="16">
        <f t="shared" si="3"/>
        <v>19</v>
      </c>
      <c r="E78" s="16">
        <f t="shared" si="4"/>
        <v>0.94736842105263153</v>
      </c>
      <c r="F78" s="30">
        <f t="shared" si="0"/>
        <v>5.2087524388501262E-4</v>
      </c>
      <c r="G78" s="30">
        <f t="shared" si="5"/>
        <v>0.999479124756115</v>
      </c>
      <c r="H78" s="2">
        <f t="shared" si="1"/>
        <v>-3.9176489620314041</v>
      </c>
      <c r="I78" s="2">
        <f t="shared" si="2"/>
        <v>-7.5693781970373779</v>
      </c>
      <c r="R78" s="24"/>
      <c r="S78" s="25"/>
      <c r="T78" s="1"/>
      <c r="U78" s="1"/>
      <c r="V78" s="1"/>
      <c r="W78" s="1"/>
      <c r="X78" s="1"/>
      <c r="Y78" s="1"/>
      <c r="Z78" s="1"/>
      <c r="AA78" s="1"/>
      <c r="AB78" s="1"/>
      <c r="AC78" s="1"/>
      <c r="AD78" s="1"/>
    </row>
    <row r="79" spans="1:30">
      <c r="A79" s="16">
        <f t="shared" si="6"/>
        <v>43.5</v>
      </c>
      <c r="B79" s="16">
        <v>18</v>
      </c>
      <c r="C79" s="16">
        <v>0</v>
      </c>
      <c r="D79" s="16">
        <f t="shared" si="3"/>
        <v>18</v>
      </c>
      <c r="E79" s="16">
        <f t="shared" si="4"/>
        <v>1</v>
      </c>
      <c r="F79" s="30">
        <f t="shared" si="0"/>
        <v>4.3507157507873255E-4</v>
      </c>
      <c r="G79" s="30">
        <f t="shared" si="5"/>
        <v>0.99956492842492128</v>
      </c>
      <c r="H79" s="2">
        <f t="shared" si="1"/>
        <v>0</v>
      </c>
      <c r="I79" s="2">
        <f t="shared" si="2"/>
        <v>-7.832992431178229E-3</v>
      </c>
      <c r="R79" s="24"/>
      <c r="S79" s="25"/>
      <c r="T79" s="1"/>
      <c r="U79" s="1"/>
      <c r="V79" s="1"/>
      <c r="W79" s="1"/>
      <c r="X79" s="1"/>
      <c r="Y79" s="1"/>
      <c r="Z79" s="1"/>
      <c r="AA79" s="1"/>
      <c r="AB79" s="1"/>
      <c r="AC79" s="1"/>
      <c r="AD79" s="1"/>
    </row>
    <row r="80" spans="1:30">
      <c r="R80" s="24"/>
      <c r="S80" s="25"/>
      <c r="T80" s="1"/>
      <c r="U80" s="1"/>
      <c r="V80" s="1"/>
      <c r="W80" s="1"/>
      <c r="X80" s="1"/>
      <c r="Y80" s="1"/>
      <c r="Z80" s="1"/>
      <c r="AA80" s="1"/>
      <c r="AB80" s="1"/>
      <c r="AC80" s="1"/>
      <c r="AD80" s="1"/>
    </row>
    <row r="81" spans="18:30">
      <c r="R81" s="24"/>
      <c r="S81" s="25"/>
      <c r="T81" s="1"/>
      <c r="U81" s="1"/>
      <c r="V81" s="1"/>
      <c r="W81" s="1"/>
      <c r="X81" s="1"/>
      <c r="Y81" s="1"/>
      <c r="Z81" s="1"/>
      <c r="AA81" s="1"/>
      <c r="AB81" s="1"/>
      <c r="AC81" s="1"/>
      <c r="AD81" s="1"/>
    </row>
    <row r="82" spans="18:30">
      <c r="R82" s="24"/>
      <c r="S82" s="25"/>
      <c r="T82" s="1"/>
      <c r="U82" s="1"/>
      <c r="V82" s="1"/>
      <c r="W82" s="1"/>
      <c r="X82" s="1"/>
      <c r="Y82" s="1"/>
      <c r="Z82" s="1"/>
      <c r="AA82" s="1"/>
      <c r="AB82" s="1"/>
      <c r="AC82" s="1"/>
      <c r="AD82" s="1"/>
    </row>
    <row r="83" spans="18:30">
      <c r="R83" s="24"/>
      <c r="S83" s="25"/>
      <c r="T83" s="1"/>
      <c r="U83" s="1"/>
      <c r="V83" s="1"/>
      <c r="W83" s="1"/>
      <c r="X83" s="1"/>
      <c r="Y83" s="1"/>
      <c r="Z83" s="1"/>
      <c r="AA83" s="1"/>
      <c r="AB83" s="1"/>
      <c r="AC83" s="1"/>
      <c r="AD83" s="1"/>
    </row>
    <row r="84" spans="18:30">
      <c r="R84" s="24"/>
      <c r="S84" s="25"/>
      <c r="T84" s="1"/>
      <c r="U84" s="1"/>
      <c r="V84" s="1"/>
      <c r="W84" s="1"/>
      <c r="X84" s="1"/>
      <c r="Y84" s="1"/>
      <c r="Z84" s="1"/>
      <c r="AA84" s="1"/>
      <c r="AB84" s="1"/>
      <c r="AC84" s="1"/>
      <c r="AD84" s="1"/>
    </row>
    <row r="85" spans="18:30">
      <c r="R85" s="24"/>
      <c r="S85" s="25"/>
      <c r="T85" s="1"/>
      <c r="U85" s="1"/>
      <c r="V85" s="1"/>
      <c r="W85" s="1"/>
      <c r="X85" s="1"/>
      <c r="Y85" s="1"/>
      <c r="Z85" s="1"/>
      <c r="AA85" s="1"/>
      <c r="AB85" s="1"/>
      <c r="AC85" s="1"/>
      <c r="AD85" s="1"/>
    </row>
    <row r="86" spans="18:30">
      <c r="R86" s="24"/>
      <c r="S86" s="25"/>
      <c r="T86" s="1"/>
      <c r="U86" s="1"/>
      <c r="V86" s="1"/>
      <c r="W86" s="1"/>
      <c r="X86" s="1"/>
      <c r="Y86" s="1"/>
      <c r="Z86" s="1"/>
      <c r="AA86" s="1"/>
      <c r="AB86" s="1"/>
      <c r="AC86" s="1"/>
      <c r="AD86" s="1"/>
    </row>
    <row r="87" spans="18:30">
      <c r="R87" s="24"/>
      <c r="S87" s="25"/>
      <c r="T87" s="1"/>
      <c r="U87" s="1"/>
      <c r="V87" s="1"/>
      <c r="W87" s="1"/>
      <c r="X87" s="1"/>
      <c r="Y87" s="1"/>
      <c r="Z87" s="1"/>
      <c r="AA87" s="1"/>
      <c r="AB87" s="1"/>
      <c r="AC87" s="1"/>
      <c r="AD87" s="1"/>
    </row>
    <row r="88" spans="18:30">
      <c r="R88" s="24"/>
      <c r="S88" s="25"/>
      <c r="T88" s="1"/>
      <c r="U88" s="1"/>
      <c r="V88" s="1"/>
      <c r="W88" s="1"/>
      <c r="X88" s="1"/>
      <c r="Y88" s="1"/>
      <c r="Z88" s="1"/>
      <c r="AA88" s="1"/>
      <c r="AB88" s="1"/>
      <c r="AC88" s="1"/>
      <c r="AD88" s="1"/>
    </row>
    <row r="89" spans="18:30">
      <c r="R89" s="24"/>
      <c r="S89" s="25"/>
      <c r="T89" s="1"/>
      <c r="U89" s="1"/>
      <c r="V89" s="1"/>
      <c r="W89" s="1"/>
      <c r="X89" s="1"/>
      <c r="Y89" s="1"/>
      <c r="Z89" s="1"/>
      <c r="AA89" s="1"/>
      <c r="AB89" s="1"/>
      <c r="AC89" s="1"/>
      <c r="AD89" s="1"/>
    </row>
    <row r="90" spans="18:30">
      <c r="R90" s="24"/>
      <c r="S90" s="25"/>
      <c r="T90" s="1"/>
      <c r="U90" s="1"/>
      <c r="V90" s="1"/>
      <c r="W90" s="1"/>
      <c r="X90" s="1"/>
      <c r="Y90" s="1"/>
      <c r="Z90" s="1"/>
      <c r="AA90" s="1"/>
      <c r="AB90" s="1"/>
      <c r="AC90" s="1"/>
      <c r="AD90" s="1"/>
    </row>
    <row r="91" spans="18:30">
      <c r="R91" s="24"/>
      <c r="S91" s="25"/>
      <c r="T91" s="1"/>
      <c r="U91" s="1"/>
      <c r="V91" s="1"/>
      <c r="W91" s="1"/>
      <c r="X91" s="1"/>
      <c r="Y91" s="1"/>
      <c r="Z91" s="1"/>
      <c r="AA91" s="1"/>
      <c r="AB91" s="1"/>
      <c r="AC91" s="1"/>
      <c r="AD91" s="1"/>
    </row>
    <row r="92" spans="18:30">
      <c r="R92" s="24"/>
      <c r="S92" s="25"/>
      <c r="T92" s="1"/>
      <c r="U92" s="1"/>
      <c r="V92" s="1"/>
      <c r="W92" s="1"/>
      <c r="X92" s="1"/>
      <c r="Y92" s="1"/>
      <c r="Z92" s="1"/>
      <c r="AA92" s="1"/>
      <c r="AB92" s="1"/>
      <c r="AC92" s="1"/>
      <c r="AD92" s="1"/>
    </row>
    <row r="93" spans="18:30">
      <c r="R93" s="24"/>
      <c r="S93" s="25"/>
      <c r="T93" s="1"/>
      <c r="U93" s="1"/>
      <c r="V93" s="1"/>
      <c r="W93" s="1"/>
      <c r="X93" s="1"/>
      <c r="Y93" s="1"/>
      <c r="Z93" s="1"/>
      <c r="AA93" s="1"/>
      <c r="AB93" s="1"/>
      <c r="AC93" s="1"/>
      <c r="AD93" s="1"/>
    </row>
    <row r="94" spans="18:30">
      <c r="R94" s="24"/>
      <c r="S94" s="25"/>
      <c r="T94" s="1"/>
      <c r="U94" s="1"/>
      <c r="V94" s="1"/>
      <c r="W94" s="1"/>
      <c r="X94" s="1"/>
      <c r="Y94" s="1"/>
      <c r="Z94" s="1"/>
      <c r="AA94" s="1"/>
      <c r="AB94" s="1"/>
      <c r="AC94" s="1"/>
      <c r="AD94" s="1"/>
    </row>
    <row r="95" spans="18:30">
      <c r="R95" s="24"/>
      <c r="S95" s="25"/>
      <c r="T95" s="1"/>
      <c r="U95" s="1"/>
      <c r="V95" s="1"/>
      <c r="W95" s="1"/>
      <c r="X95" s="1"/>
      <c r="Y95" s="1"/>
      <c r="Z95" s="1"/>
      <c r="AA95" s="1"/>
      <c r="AB95" s="1"/>
      <c r="AC95" s="1"/>
      <c r="AD95" s="1"/>
    </row>
    <row r="96" spans="18:30">
      <c r="R96" s="24"/>
      <c r="S96" s="25"/>
      <c r="T96" s="1"/>
      <c r="U96" s="1"/>
      <c r="V96" s="1"/>
      <c r="W96" s="1"/>
      <c r="X96" s="1"/>
      <c r="Y96" s="1"/>
      <c r="Z96" s="1"/>
      <c r="AA96" s="1"/>
      <c r="AB96" s="1"/>
      <c r="AC96" s="1"/>
      <c r="AD96" s="1"/>
    </row>
    <row r="97" spans="18:30">
      <c r="R97" s="24"/>
      <c r="S97" s="25"/>
      <c r="T97" s="1"/>
      <c r="U97" s="1"/>
      <c r="V97" s="1"/>
      <c r="W97" s="1"/>
      <c r="X97" s="1"/>
      <c r="Y97" s="1"/>
      <c r="Z97" s="1"/>
      <c r="AA97" s="1"/>
      <c r="AB97" s="1"/>
      <c r="AC97" s="1"/>
      <c r="AD97" s="1"/>
    </row>
    <row r="98" spans="18:30">
      <c r="R98" s="24"/>
      <c r="S98" s="25"/>
      <c r="T98" s="1"/>
      <c r="U98" s="1"/>
      <c r="V98" s="1"/>
      <c r="W98" s="1"/>
      <c r="X98" s="1"/>
      <c r="Y98" s="1"/>
      <c r="Z98" s="1"/>
      <c r="AA98" s="1"/>
      <c r="AB98" s="1"/>
      <c r="AC98" s="1"/>
      <c r="AD98" s="1"/>
    </row>
    <row r="99" spans="18:30">
      <c r="R99" s="24"/>
      <c r="S99" s="25"/>
      <c r="T99" s="1"/>
      <c r="U99" s="1"/>
      <c r="V99" s="1"/>
      <c r="W99" s="1"/>
      <c r="X99" s="1"/>
      <c r="Y99" s="1"/>
      <c r="Z99" s="1"/>
      <c r="AA99" s="1"/>
      <c r="AB99" s="1"/>
      <c r="AC99" s="1"/>
      <c r="AD99" s="1"/>
    </row>
    <row r="100" spans="18:30">
      <c r="R100" s="24"/>
      <c r="S100" s="25"/>
      <c r="T100" s="1"/>
      <c r="U100" s="1"/>
      <c r="V100" s="1"/>
      <c r="W100" s="1"/>
      <c r="X100" s="1"/>
      <c r="Y100" s="1"/>
      <c r="Z100" s="1"/>
      <c r="AA100" s="1"/>
      <c r="AB100" s="1"/>
      <c r="AC100" s="1"/>
      <c r="AD100" s="1"/>
    </row>
    <row r="101" spans="18:30">
      <c r="R101" s="24"/>
      <c r="S101" s="25"/>
      <c r="T101" s="1"/>
      <c r="U101" s="1"/>
      <c r="V101" s="1"/>
      <c r="W101" s="1"/>
      <c r="X101" s="1"/>
      <c r="Y101" s="1"/>
      <c r="Z101" s="1"/>
      <c r="AA101" s="1"/>
      <c r="AB101" s="1"/>
      <c r="AC101" s="1"/>
      <c r="AD101" s="1"/>
    </row>
    <row r="102" spans="18:30">
      <c r="R102" s="24"/>
      <c r="S102" s="25"/>
      <c r="T102" s="1"/>
      <c r="U102" s="1"/>
      <c r="V102" s="1"/>
      <c r="W102" s="1"/>
      <c r="X102" s="1"/>
      <c r="Y102" s="1"/>
      <c r="Z102" s="1"/>
      <c r="AA102" s="1"/>
      <c r="AB102" s="1"/>
      <c r="AC102" s="1"/>
      <c r="AD102" s="1"/>
    </row>
    <row r="103" spans="18:30">
      <c r="R103" s="24"/>
      <c r="S103" s="25"/>
      <c r="T103" s="1"/>
      <c r="U103" s="1"/>
      <c r="V103" s="1"/>
      <c r="W103" s="1"/>
      <c r="X103" s="1"/>
      <c r="Y103" s="1"/>
      <c r="Z103" s="1"/>
      <c r="AA103" s="1"/>
      <c r="AB103" s="1"/>
      <c r="AC103" s="1"/>
      <c r="AD103" s="1"/>
    </row>
    <row r="104" spans="18:30">
      <c r="R104" s="24"/>
      <c r="S104" s="25"/>
      <c r="T104" s="1"/>
      <c r="U104" s="1"/>
      <c r="V104" s="1"/>
      <c r="W104" s="1"/>
      <c r="X104" s="1"/>
      <c r="Y104" s="1"/>
      <c r="Z104" s="1"/>
      <c r="AA104" s="1"/>
      <c r="AB104" s="1"/>
      <c r="AC104" s="1"/>
      <c r="AD104" s="1"/>
    </row>
    <row r="105" spans="18:30">
      <c r="R105" s="24"/>
      <c r="S105" s="25"/>
      <c r="T105" s="1"/>
      <c r="U105" s="1"/>
      <c r="V105" s="1"/>
      <c r="W105" s="1"/>
      <c r="X105" s="1"/>
      <c r="Y105" s="1"/>
      <c r="Z105" s="1"/>
      <c r="AA105" s="1"/>
      <c r="AB105" s="1"/>
      <c r="AC105" s="1"/>
      <c r="AD105" s="1"/>
    </row>
    <row r="106" spans="18:30">
      <c r="R106" s="24"/>
      <c r="S106" s="25"/>
      <c r="T106" s="1"/>
      <c r="U106" s="1"/>
      <c r="V106" s="1"/>
      <c r="W106" s="1"/>
      <c r="X106" s="1"/>
      <c r="Y106" s="1"/>
      <c r="Z106" s="1"/>
      <c r="AA106" s="1"/>
      <c r="AB106" s="1"/>
      <c r="AC106" s="1"/>
      <c r="AD106" s="1"/>
    </row>
    <row r="107" spans="18:30">
      <c r="R107" s="24"/>
      <c r="S107" s="25"/>
      <c r="T107" s="1"/>
      <c r="U107" s="1"/>
      <c r="V107" s="1"/>
      <c r="W107" s="1"/>
      <c r="X107" s="1"/>
      <c r="Y107" s="1"/>
      <c r="Z107" s="1"/>
      <c r="AA107" s="1"/>
      <c r="AB107" s="1"/>
      <c r="AC107" s="1"/>
      <c r="AD107" s="1"/>
    </row>
    <row r="108" spans="18:30">
      <c r="R108" s="24"/>
      <c r="S108" s="25"/>
      <c r="T108" s="1"/>
      <c r="U108" s="1"/>
      <c r="V108" s="1"/>
      <c r="W108" s="1"/>
      <c r="X108" s="1"/>
      <c r="Y108" s="1"/>
      <c r="Z108" s="1"/>
      <c r="AA108" s="1"/>
      <c r="AB108" s="1"/>
      <c r="AC108" s="1"/>
      <c r="AD108" s="1"/>
    </row>
    <row r="109" spans="18:30">
      <c r="R109" s="24"/>
      <c r="S109" s="25"/>
      <c r="T109" s="1"/>
      <c r="U109" s="1"/>
      <c r="V109" s="1"/>
      <c r="W109" s="1"/>
      <c r="X109" s="1"/>
      <c r="Y109" s="1"/>
      <c r="Z109" s="1"/>
      <c r="AA109" s="1"/>
      <c r="AB109" s="1"/>
      <c r="AC109" s="1"/>
      <c r="AD109" s="1"/>
    </row>
    <row r="110" spans="18:30">
      <c r="R110" s="24"/>
      <c r="S110" s="25"/>
      <c r="T110" s="1"/>
      <c r="U110" s="1"/>
      <c r="V110" s="1"/>
      <c r="W110" s="1"/>
      <c r="X110" s="1"/>
      <c r="Y110" s="1"/>
      <c r="Z110" s="1"/>
      <c r="AA110" s="1"/>
      <c r="AB110" s="1"/>
      <c r="AC110" s="1"/>
      <c r="AD110" s="1"/>
    </row>
    <row r="111" spans="18:30">
      <c r="R111" s="24"/>
      <c r="S111" s="25"/>
      <c r="T111" s="1"/>
      <c r="U111" s="1"/>
      <c r="V111" s="1"/>
      <c r="W111" s="1"/>
      <c r="X111" s="1"/>
      <c r="Y111" s="1"/>
      <c r="Z111" s="1"/>
      <c r="AA111" s="1"/>
      <c r="AB111" s="1"/>
      <c r="AC111" s="1"/>
      <c r="AD111" s="1"/>
    </row>
    <row r="112" spans="18:30">
      <c r="R112" s="24"/>
      <c r="S112" s="25"/>
      <c r="T112" s="1"/>
      <c r="U112" s="1"/>
      <c r="V112" s="1"/>
      <c r="W112" s="1"/>
      <c r="X112" s="1"/>
      <c r="Y112" s="1"/>
      <c r="Z112" s="1"/>
      <c r="AA112" s="1"/>
      <c r="AB112" s="1"/>
      <c r="AC112" s="1"/>
      <c r="AD112" s="1"/>
    </row>
    <row r="113" spans="18:30">
      <c r="R113" s="24"/>
      <c r="S113" s="25"/>
      <c r="T113" s="1"/>
      <c r="U113" s="1"/>
      <c r="V113" s="1"/>
      <c r="W113" s="1"/>
      <c r="X113" s="1"/>
      <c r="Y113" s="1"/>
      <c r="Z113" s="1"/>
      <c r="AA113" s="1"/>
      <c r="AB113" s="1"/>
      <c r="AC113" s="1"/>
      <c r="AD113" s="1"/>
    </row>
    <row r="114" spans="18:30">
      <c r="R114" s="24"/>
      <c r="S114" s="25"/>
      <c r="T114" s="1"/>
      <c r="U114" s="1"/>
      <c r="V114" s="1"/>
      <c r="W114" s="1"/>
      <c r="X114" s="1"/>
      <c r="Y114" s="1"/>
      <c r="Z114" s="1"/>
      <c r="AA114" s="1"/>
      <c r="AB114" s="1"/>
      <c r="AC114" s="1"/>
      <c r="AD114" s="1"/>
    </row>
    <row r="115" spans="18:30">
      <c r="R115" s="24"/>
      <c r="S115" s="25"/>
      <c r="T115" s="1"/>
      <c r="U115" s="1"/>
      <c r="V115" s="1"/>
      <c r="W115" s="1"/>
      <c r="X115" s="1"/>
      <c r="Y115" s="1"/>
      <c r="Z115" s="1"/>
      <c r="AA115" s="1"/>
      <c r="AB115" s="1"/>
      <c r="AC115" s="1"/>
      <c r="AD115" s="1"/>
    </row>
    <row r="116" spans="18:30">
      <c r="R116" s="24"/>
      <c r="S116" s="25"/>
      <c r="T116" s="1"/>
      <c r="U116" s="1"/>
      <c r="V116" s="1"/>
      <c r="W116" s="1"/>
      <c r="X116" s="1"/>
      <c r="Y116" s="1"/>
      <c r="Z116" s="1"/>
      <c r="AA116" s="1"/>
      <c r="AB116" s="1"/>
      <c r="AC116" s="1"/>
      <c r="AD116" s="1"/>
    </row>
    <row r="117" spans="18:30">
      <c r="R117" s="24"/>
      <c r="S117" s="25"/>
      <c r="T117" s="1"/>
      <c r="U117" s="1"/>
      <c r="V117" s="1"/>
      <c r="W117" s="1"/>
      <c r="X117" s="1"/>
      <c r="Y117" s="1"/>
      <c r="Z117" s="1"/>
      <c r="AA117" s="1"/>
      <c r="AB117" s="1"/>
      <c r="AC117" s="1"/>
      <c r="AD117" s="1"/>
    </row>
    <row r="118" spans="18:30">
      <c r="R118" s="24"/>
      <c r="S118" s="25"/>
      <c r="T118" s="1"/>
      <c r="U118" s="1"/>
      <c r="V118" s="1"/>
      <c r="W118" s="1"/>
      <c r="X118" s="1"/>
      <c r="Y118" s="1"/>
      <c r="Z118" s="1"/>
      <c r="AA118" s="1"/>
      <c r="AB118" s="1"/>
      <c r="AC118" s="1"/>
      <c r="AD118" s="1"/>
    </row>
    <row r="119" spans="18:30">
      <c r="R119" s="24"/>
      <c r="S119" s="25"/>
      <c r="T119" s="1"/>
      <c r="U119" s="1"/>
      <c r="V119" s="1"/>
      <c r="W119" s="1"/>
      <c r="X119" s="1"/>
      <c r="Y119" s="1"/>
      <c r="Z119" s="1"/>
      <c r="AA119" s="1"/>
      <c r="AB119" s="1"/>
      <c r="AC119" s="1"/>
      <c r="AD119" s="1"/>
    </row>
    <row r="120" spans="18:30">
      <c r="R120" s="24"/>
      <c r="S120" s="25"/>
      <c r="T120" s="1"/>
      <c r="U120" s="1"/>
      <c r="V120" s="1"/>
      <c r="W120" s="1"/>
      <c r="X120" s="1"/>
      <c r="Y120" s="1"/>
      <c r="Z120" s="1"/>
      <c r="AA120" s="1"/>
      <c r="AB120" s="1"/>
      <c r="AC120" s="1"/>
      <c r="AD120" s="1"/>
    </row>
    <row r="121" spans="18:30">
      <c r="R121" s="24"/>
      <c r="S121" s="25"/>
      <c r="T121" s="1"/>
      <c r="U121" s="1"/>
      <c r="V121" s="1"/>
      <c r="W121" s="1"/>
      <c r="X121" s="1"/>
      <c r="Y121" s="1"/>
      <c r="Z121" s="1"/>
      <c r="AA121" s="1"/>
      <c r="AB121" s="1"/>
      <c r="AC121" s="1"/>
      <c r="AD121" s="1"/>
    </row>
  </sheetData>
  <mergeCells count="7">
    <mergeCell ref="D23:E23"/>
    <mergeCell ref="B31:D31"/>
    <mergeCell ref="F31:G31"/>
    <mergeCell ref="H31:I31"/>
    <mergeCell ref="B32:D32"/>
    <mergeCell ref="H32:I32"/>
    <mergeCell ref="F30:G30"/>
  </mergeCells>
  <pageMargins left="0.75" right="0.75" top="1" bottom="1" header="0.5" footer="0.5"/>
  <pageSetup paperSize="9" orientation="portrait" horizontalDpi="4294967293" verticalDpi="2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sheetPr codeName="Sheet111"/>
  <dimension ref="A1:AD121"/>
  <sheetViews>
    <sheetView tabSelected="1" zoomScale="80" zoomScaleNormal="80" workbookViewId="0">
      <selection activeCell="L5" sqref="L5"/>
    </sheetView>
  </sheetViews>
  <sheetFormatPr defaultRowHeight="12.75" outlineLevelRow="1" outlineLevelCol="1"/>
  <cols>
    <col min="1" max="1" width="14.42578125" customWidth="1"/>
    <col min="2" max="2" width="17.5703125" customWidth="1"/>
    <col min="3" max="3" width="12" bestFit="1" customWidth="1"/>
    <col min="4" max="4" width="8.28515625" customWidth="1"/>
    <col min="5" max="5" width="13.28515625" bestFit="1" customWidth="1"/>
    <col min="6" max="6" width="12" bestFit="1" customWidth="1"/>
    <col min="7" max="7" width="10.5703125" customWidth="1"/>
    <col min="8" max="8" width="15" hidden="1" customWidth="1" outlineLevel="1"/>
    <col min="9" max="9" width="14.42578125" hidden="1" customWidth="1" outlineLevel="1"/>
    <col min="10" max="10" width="9.140625" collapsed="1"/>
    <col min="18" max="18" width="9.85546875" customWidth="1"/>
    <col min="19" max="28" width="9.140625" customWidth="1"/>
  </cols>
  <sheetData>
    <row r="1" spans="1:11" s="1" customFormat="1">
      <c r="A1" s="61"/>
      <c r="B1" s="61"/>
      <c r="C1" s="61"/>
      <c r="D1" s="61"/>
      <c r="E1" s="61"/>
      <c r="F1" s="61"/>
      <c r="G1" s="61"/>
    </row>
    <row r="2" spans="1:11" s="1" customFormat="1">
      <c r="A2" s="61"/>
      <c r="B2" s="61"/>
      <c r="C2" s="61"/>
      <c r="D2" s="61"/>
      <c r="E2" s="61"/>
      <c r="F2" s="61"/>
      <c r="G2" s="61"/>
    </row>
    <row r="3" spans="1:11" s="1" customFormat="1">
      <c r="A3" s="61"/>
      <c r="B3" s="61"/>
      <c r="C3" s="61"/>
      <c r="D3" s="61"/>
      <c r="E3" s="61"/>
      <c r="F3" s="61"/>
      <c r="G3" s="61"/>
    </row>
    <row r="4" spans="1:11" s="1" customFormat="1">
      <c r="A4" s="61"/>
      <c r="B4" s="61"/>
      <c r="C4" s="61"/>
      <c r="D4" s="61"/>
      <c r="E4" s="61"/>
      <c r="F4" s="61"/>
      <c r="G4" s="61"/>
    </row>
    <row r="5" spans="1:11" s="1" customFormat="1">
      <c r="A5" s="61"/>
      <c r="B5" s="61"/>
      <c r="C5" s="61"/>
      <c r="D5" s="61"/>
      <c r="E5" s="61"/>
      <c r="F5" s="61"/>
      <c r="G5" s="61"/>
    </row>
    <row r="6" spans="1:11" s="1" customFormat="1">
      <c r="A6" s="61"/>
      <c r="B6" s="61"/>
      <c r="C6" s="61"/>
      <c r="D6" s="61"/>
      <c r="E6" s="61"/>
      <c r="F6" s="61"/>
      <c r="G6" s="61"/>
    </row>
    <row r="7" spans="1:11" s="1" customFormat="1">
      <c r="A7" s="61"/>
      <c r="B7" s="61"/>
      <c r="C7" s="61"/>
      <c r="D7" s="61"/>
      <c r="E7" s="61"/>
      <c r="F7" s="61"/>
      <c r="G7" s="61"/>
    </row>
    <row r="8" spans="1:11" s="1" customFormat="1">
      <c r="A8" s="61"/>
      <c r="B8" s="61"/>
      <c r="C8" s="61"/>
      <c r="D8" s="61"/>
      <c r="E8" s="61"/>
      <c r="F8" s="61"/>
      <c r="G8" s="61"/>
    </row>
    <row r="9" spans="1:11" s="1" customFormat="1">
      <c r="A9" s="61"/>
      <c r="B9" s="61"/>
      <c r="C9" s="61"/>
      <c r="D9" s="61"/>
      <c r="E9" s="61"/>
      <c r="F9" s="61"/>
      <c r="G9" s="61"/>
    </row>
    <row r="10" spans="1:11" s="1" customFormat="1">
      <c r="A10" s="61"/>
      <c r="B10" s="61"/>
      <c r="C10" s="61"/>
      <c r="D10" s="61"/>
      <c r="E10" s="61"/>
      <c r="F10" s="61"/>
      <c r="G10" s="61"/>
    </row>
    <row r="11" spans="1:11" s="1" customFormat="1" ht="18.75" customHeight="1">
      <c r="A11" s="61"/>
      <c r="B11" s="61"/>
      <c r="C11" s="61"/>
      <c r="D11" s="61"/>
      <c r="E11" s="61"/>
      <c r="F11" s="61"/>
      <c r="G11" s="61"/>
    </row>
    <row r="12" spans="1:11" s="1" customFormat="1">
      <c r="A12" s="33"/>
      <c r="B12" s="33"/>
      <c r="C12" s="33"/>
      <c r="D12" s="33"/>
      <c r="E12" s="53"/>
      <c r="F12" s="53"/>
      <c r="G12" s="33"/>
    </row>
    <row r="13" spans="1:11" s="1" customFormat="1">
      <c r="A13" s="53" t="s">
        <v>0</v>
      </c>
      <c r="B13" s="53"/>
      <c r="C13" s="33"/>
      <c r="D13" s="54" t="s">
        <v>1</v>
      </c>
      <c r="E13" s="53" t="s">
        <v>33</v>
      </c>
      <c r="F13" s="53"/>
      <c r="G13" s="33"/>
    </row>
    <row r="14" spans="1:11" s="1" customFormat="1">
      <c r="A14" s="59" t="s">
        <v>39</v>
      </c>
      <c r="B14" s="56"/>
      <c r="C14" s="33"/>
      <c r="D14" s="57">
        <v>0.18</v>
      </c>
      <c r="E14" s="60" t="s">
        <v>27</v>
      </c>
      <c r="F14" s="58"/>
      <c r="G14" s="33"/>
    </row>
    <row r="15" spans="1:11" s="1" customFormat="1">
      <c r="A15" s="59" t="s">
        <v>29</v>
      </c>
      <c r="B15" s="56"/>
      <c r="C15" s="33"/>
      <c r="D15" s="57">
        <v>0.5</v>
      </c>
      <c r="E15" s="58" t="s">
        <v>30</v>
      </c>
      <c r="F15" s="58"/>
      <c r="G15" s="33"/>
    </row>
    <row r="16" spans="1:11" s="1" customFormat="1">
      <c r="A16" s="59" t="s">
        <v>40</v>
      </c>
      <c r="B16" s="56"/>
      <c r="C16" s="33"/>
      <c r="D16" s="57">
        <f>1/ave_durn_mat</f>
        <v>2</v>
      </c>
      <c r="E16" s="58" t="s">
        <v>31</v>
      </c>
      <c r="F16" s="58"/>
      <c r="G16" s="33"/>
      <c r="K16" s="49"/>
    </row>
    <row r="17" spans="1:30" s="1" customFormat="1">
      <c r="A17" s="33"/>
      <c r="B17" s="33"/>
      <c r="C17" s="33"/>
      <c r="D17" s="33"/>
      <c r="E17" s="33"/>
      <c r="F17" s="33"/>
      <c r="G17" s="33"/>
      <c r="K17" s="49"/>
    </row>
    <row r="18" spans="1:30" s="1" customFormat="1" hidden="1" outlineLevel="1">
      <c r="A18" s="2" t="s">
        <v>20</v>
      </c>
      <c r="B18" s="2"/>
      <c r="C18" s="3"/>
      <c r="D18" s="4">
        <f>2*(SUM(H36:H79)-SUM(I36:I79))</f>
        <v>518.82696941237782</v>
      </c>
      <c r="E18" s="3"/>
      <c r="F18" s="3"/>
      <c r="G18" s="3"/>
      <c r="H18" s="3"/>
      <c r="I18" s="3"/>
    </row>
    <row r="19" spans="1:30" s="1" customFormat="1" collapsed="1">
      <c r="A19" s="37"/>
      <c r="B19" s="3"/>
      <c r="C19" s="3"/>
      <c r="D19" s="3"/>
      <c r="E19" s="3"/>
      <c r="F19" s="3"/>
      <c r="G19" s="3"/>
      <c r="H19" s="3"/>
      <c r="I19" s="3"/>
    </row>
    <row r="20" spans="1:30" s="1" customFormat="1" hidden="1" outlineLevel="1">
      <c r="A20" s="38" t="s">
        <v>23</v>
      </c>
      <c r="B20" s="35"/>
      <c r="C20" s="35"/>
      <c r="D20" s="5"/>
      <c r="E20" s="3"/>
      <c r="F20" s="3"/>
      <c r="G20" s="3"/>
      <c r="H20" s="3"/>
      <c r="I20" s="3"/>
      <c r="R20" s="22"/>
      <c r="S20" s="23"/>
    </row>
    <row r="21" spans="1:30" s="1" customFormat="1" hidden="1" outlineLevel="1">
      <c r="A21" s="35"/>
      <c r="B21" s="35"/>
      <c r="C21" s="35"/>
      <c r="D21" s="46">
        <f>D18-$C$27</f>
        <v>518.82696941237782</v>
      </c>
      <c r="E21" s="3"/>
      <c r="F21" s="3"/>
      <c r="G21" s="3"/>
      <c r="H21" s="3"/>
      <c r="I21" s="3"/>
      <c r="R21" s="22"/>
      <c r="S21" s="23"/>
    </row>
    <row r="22" spans="1:30" s="1" customFormat="1" ht="13.5" hidden="1" outlineLevel="1" thickBot="1">
      <c r="A22" s="34"/>
      <c r="B22" s="34"/>
      <c r="C22" s="34"/>
      <c r="D22" s="34"/>
      <c r="E22" s="34"/>
      <c r="F22" s="34"/>
      <c r="G22" s="34"/>
      <c r="H22" s="3"/>
      <c r="I22" s="3"/>
      <c r="R22" s="24"/>
      <c r="S22" s="25"/>
    </row>
    <row r="23" spans="1:30" s="1" customFormat="1" hidden="1" outlineLevel="1">
      <c r="A23" s="6" t="s">
        <v>22</v>
      </c>
      <c r="B23" s="7"/>
      <c r="C23" s="7"/>
      <c r="D23" s="62" t="s">
        <v>2</v>
      </c>
      <c r="E23" s="62"/>
      <c r="F23" s="17"/>
      <c r="G23" s="7"/>
      <c r="H23" s="41"/>
      <c r="I23" s="42"/>
      <c r="R23" s="24"/>
      <c r="S23" s="25"/>
    </row>
    <row r="24" spans="1:30" s="1" customFormat="1" hidden="1" outlineLevel="1">
      <c r="A24" s="8"/>
      <c r="B24" s="9"/>
      <c r="C24" s="9" t="s">
        <v>21</v>
      </c>
      <c r="D24" s="9" t="s">
        <v>3</v>
      </c>
      <c r="E24" s="9" t="s">
        <v>4</v>
      </c>
      <c r="F24" s="9"/>
      <c r="G24" s="9"/>
      <c r="H24" s="40"/>
      <c r="I24" s="43"/>
      <c r="R24" s="24"/>
      <c r="S24" s="25"/>
    </row>
    <row r="25" spans="1:30" s="1" customFormat="1" hidden="1" outlineLevel="1">
      <c r="A25" s="8"/>
      <c r="B25" s="9" t="str">
        <f>E14</f>
        <v>foi_pyr_matwane</v>
      </c>
      <c r="C25" s="9"/>
      <c r="D25" s="9"/>
      <c r="E25" s="9"/>
      <c r="F25" s="9"/>
      <c r="G25" s="12"/>
      <c r="H25" s="40"/>
      <c r="I25" s="43"/>
      <c r="R25" s="24"/>
      <c r="S25" s="25"/>
    </row>
    <row r="26" spans="1:30" s="1" customFormat="1" hidden="1" outlineLevel="1">
      <c r="A26" s="8"/>
      <c r="B26" s="9"/>
      <c r="C26" s="9"/>
      <c r="D26" s="9"/>
      <c r="E26" s="9"/>
      <c r="F26" s="9"/>
      <c r="G26" s="12"/>
      <c r="H26" s="40"/>
      <c r="I26" s="43"/>
      <c r="K26" s="48"/>
      <c r="L26" s="48"/>
      <c r="R26" s="24"/>
      <c r="S26" s="25"/>
    </row>
    <row r="27" spans="1:30" s="1" customFormat="1" ht="13.5" hidden="1" outlineLevel="1" thickBot="1">
      <c r="A27" s="10" t="s">
        <v>28</v>
      </c>
      <c r="B27" s="11"/>
      <c r="C27" s="11"/>
      <c r="D27" s="11"/>
      <c r="E27" s="11"/>
      <c r="F27" s="11"/>
      <c r="G27" s="39"/>
      <c r="H27" s="44"/>
      <c r="I27" s="45"/>
      <c r="R27" s="24"/>
      <c r="S27" s="25"/>
    </row>
    <row r="28" spans="1:30" s="1" customFormat="1" hidden="1" outlineLevel="1">
      <c r="A28" s="9"/>
      <c r="B28" s="9"/>
      <c r="C28" s="9"/>
      <c r="D28" s="9"/>
      <c r="E28" s="9"/>
      <c r="F28" s="9"/>
      <c r="G28" s="12"/>
      <c r="H28" s="3"/>
      <c r="I28" s="3"/>
      <c r="R28" s="24"/>
      <c r="S28" s="25"/>
    </row>
    <row r="29" spans="1:30" s="1" customFormat="1" collapsed="1">
      <c r="A29" s="21" t="s">
        <v>32</v>
      </c>
      <c r="B29" s="26"/>
      <c r="C29" s="26"/>
      <c r="D29" s="27"/>
      <c r="E29" s="28"/>
      <c r="F29" s="29"/>
      <c r="G29" s="29"/>
      <c r="H29" s="3"/>
      <c r="I29" s="3"/>
      <c r="R29" s="24"/>
      <c r="S29" s="25"/>
    </row>
    <row r="30" spans="1:30" s="1" customFormat="1">
      <c r="A30" s="21" t="s">
        <v>19</v>
      </c>
      <c r="B30" s="20"/>
      <c r="C30" s="20"/>
      <c r="D30" s="20"/>
      <c r="E30" s="20"/>
      <c r="F30" s="64" t="s">
        <v>34</v>
      </c>
      <c r="G30" s="64"/>
      <c r="H30" s="3"/>
      <c r="I30" s="3"/>
      <c r="R30" s="24"/>
      <c r="S30" s="25"/>
    </row>
    <row r="31" spans="1:30" s="1" customFormat="1">
      <c r="A31" s="18"/>
      <c r="B31" s="63" t="s">
        <v>17</v>
      </c>
      <c r="C31" s="63"/>
      <c r="D31" s="63"/>
      <c r="E31" s="18"/>
      <c r="F31" s="64" t="s">
        <v>35</v>
      </c>
      <c r="G31" s="64"/>
      <c r="H31" s="65" t="s">
        <v>5</v>
      </c>
      <c r="I31" s="65"/>
      <c r="R31" s="24"/>
      <c r="S31" s="25"/>
    </row>
    <row r="32" spans="1:30" ht="13.5" thickBot="1">
      <c r="A32" s="52" t="s">
        <v>6</v>
      </c>
      <c r="B32" s="66" t="s">
        <v>7</v>
      </c>
      <c r="C32" s="66"/>
      <c r="D32" s="66"/>
      <c r="E32" s="52" t="s">
        <v>8</v>
      </c>
      <c r="F32" s="31"/>
      <c r="G32" s="51" t="s">
        <v>36</v>
      </c>
      <c r="H32" s="65" t="s">
        <v>9</v>
      </c>
      <c r="I32" s="65"/>
      <c r="R32" s="24"/>
      <c r="S32" s="25"/>
      <c r="T32" s="1"/>
      <c r="U32" s="1"/>
      <c r="V32" s="1"/>
      <c r="W32" s="1"/>
      <c r="X32" s="1"/>
      <c r="Y32" s="1"/>
      <c r="Z32" s="1"/>
      <c r="AA32" s="1"/>
      <c r="AB32" s="1"/>
      <c r="AC32" s="1"/>
      <c r="AD32" s="1"/>
    </row>
    <row r="33" spans="1:30">
      <c r="A33" s="52" t="s">
        <v>10</v>
      </c>
      <c r="B33" s="19" t="s">
        <v>11</v>
      </c>
      <c r="C33" s="19" t="s">
        <v>12</v>
      </c>
      <c r="D33" s="19" t="s">
        <v>13</v>
      </c>
      <c r="E33" s="52" t="s">
        <v>11</v>
      </c>
      <c r="F33" s="31" t="s">
        <v>18</v>
      </c>
      <c r="G33" s="31" t="s">
        <v>37</v>
      </c>
      <c r="H33" s="13" t="s">
        <v>14</v>
      </c>
      <c r="I33" s="13" t="s">
        <v>15</v>
      </c>
      <c r="R33" s="24"/>
      <c r="S33" s="25"/>
      <c r="T33" s="1"/>
      <c r="U33" s="1"/>
      <c r="V33" s="1"/>
      <c r="W33" s="1"/>
      <c r="X33" s="1"/>
      <c r="Y33" s="1"/>
      <c r="Z33" s="1"/>
      <c r="AA33" s="1"/>
      <c r="AB33" s="1"/>
      <c r="AC33" s="1"/>
      <c r="AD33" s="1"/>
    </row>
    <row r="34" spans="1:30">
      <c r="A34" s="52"/>
      <c r="B34" s="19"/>
      <c r="C34" s="19"/>
      <c r="D34" s="19"/>
      <c r="E34" s="52"/>
      <c r="F34" s="31"/>
      <c r="G34" s="31"/>
      <c r="H34" s="13" t="s">
        <v>16</v>
      </c>
      <c r="I34" s="13" t="s">
        <v>16</v>
      </c>
      <c r="R34" s="24"/>
      <c r="S34" s="25"/>
      <c r="T34" s="1"/>
      <c r="U34" s="1"/>
      <c r="V34" s="1"/>
      <c r="W34" s="1"/>
      <c r="X34" s="1"/>
      <c r="Y34" s="1"/>
      <c r="Z34" s="1"/>
      <c r="AA34" s="1"/>
      <c r="AB34" s="1"/>
      <c r="AC34" s="1"/>
      <c r="AD34" s="1"/>
    </row>
    <row r="35" spans="1:30">
      <c r="A35" s="20">
        <v>0</v>
      </c>
      <c r="B35" s="20"/>
      <c r="C35" s="20"/>
      <c r="D35" s="20"/>
      <c r="E35" s="20"/>
      <c r="F35" s="30">
        <f t="shared" ref="F35:F79" si="0">mat_loss_rate*(EXP(-mat_loss_rate*A35)-EXP(-foi_pyr_matwane*A35))/(foi_pyr_matwane-mat_loss_rate)</f>
        <v>0</v>
      </c>
      <c r="G35" s="32">
        <f>1-F35</f>
        <v>1</v>
      </c>
      <c r="H35" s="3"/>
      <c r="I35" s="3"/>
      <c r="R35" s="24"/>
      <c r="S35" s="25"/>
      <c r="T35" s="1"/>
      <c r="U35" s="1"/>
      <c r="V35" s="1"/>
      <c r="W35" s="1"/>
      <c r="X35" s="1"/>
      <c r="Y35" s="1"/>
      <c r="Z35" s="1"/>
      <c r="AA35" s="1"/>
      <c r="AB35" s="1"/>
      <c r="AC35" s="1"/>
      <c r="AD35" s="1"/>
    </row>
    <row r="36" spans="1:30">
      <c r="A36" s="20">
        <v>0.5</v>
      </c>
      <c r="B36" s="20">
        <v>31</v>
      </c>
      <c r="C36" s="20">
        <v>175</v>
      </c>
      <c r="D36" s="20">
        <f>SUM(B36:C36)</f>
        <v>206</v>
      </c>
      <c r="E36" s="20">
        <f>B36/D36</f>
        <v>0.15048543689320387</v>
      </c>
      <c r="F36" s="30">
        <f t="shared" si="0"/>
        <v>0.60005686164811634</v>
      </c>
      <c r="G36" s="32">
        <f t="shared" ref="G36:G79" si="1">1-F36</f>
        <v>0.39994313835188366</v>
      </c>
      <c r="H36" s="2">
        <f t="shared" ref="H36:H46" si="2">IF(OR(E36=0,E36=1),0,B36*LN(E36)+C36*LN(1-E36))</f>
        <v>-87.251341994999194</v>
      </c>
      <c r="I36" s="2">
        <f t="shared" ref="I36:I46" si="3">IF(OR(G36=0,G36=1),0,B36*LN(G36)+C36*LN(1-G36))</f>
        <v>-117.78732007656842</v>
      </c>
      <c r="R36" s="24"/>
      <c r="S36" s="25"/>
      <c r="T36" s="1"/>
      <c r="U36" s="1"/>
      <c r="V36" s="1"/>
      <c r="W36" s="1"/>
      <c r="X36" s="1"/>
      <c r="Y36" s="1"/>
      <c r="Z36" s="1"/>
      <c r="AA36" s="1"/>
      <c r="AB36" s="1"/>
      <c r="AC36" s="1"/>
      <c r="AD36" s="1"/>
    </row>
    <row r="37" spans="1:30">
      <c r="A37" s="20">
        <f>A36+1</f>
        <v>1.5</v>
      </c>
      <c r="B37" s="20">
        <v>30</v>
      </c>
      <c r="C37" s="20">
        <v>116</v>
      </c>
      <c r="D37" s="20">
        <f t="shared" ref="D37:D79" si="4">SUM(B37:C37)</f>
        <v>146</v>
      </c>
      <c r="E37" s="20">
        <f t="shared" ref="E37:E79" si="5">B37/D37</f>
        <v>0.20547945205479451</v>
      </c>
      <c r="F37" s="30">
        <f t="shared" si="0"/>
        <v>0.78416750106482325</v>
      </c>
      <c r="G37" s="32">
        <f t="shared" si="1"/>
        <v>0.21583249893517675</v>
      </c>
      <c r="H37" s="2">
        <f t="shared" si="2"/>
        <v>-74.154183151214141</v>
      </c>
      <c r="I37" s="2">
        <f t="shared" si="3"/>
        <v>-74.200964528200615</v>
      </c>
      <c r="R37" s="24"/>
      <c r="S37" s="25"/>
      <c r="T37" s="1"/>
      <c r="U37" s="1"/>
      <c r="V37" s="1"/>
      <c r="W37" s="1"/>
      <c r="X37" s="1"/>
      <c r="Y37" s="1"/>
      <c r="Z37" s="1"/>
      <c r="AA37" s="1"/>
      <c r="AB37" s="1"/>
      <c r="AC37" s="1"/>
      <c r="AD37" s="1"/>
    </row>
    <row r="38" spans="1:30">
      <c r="A38" s="20">
        <f t="shared" ref="A38:A79" si="6">A37+1</f>
        <v>2.5</v>
      </c>
      <c r="B38" s="20">
        <v>34</v>
      </c>
      <c r="C38" s="20">
        <v>134</v>
      </c>
      <c r="D38" s="20">
        <f t="shared" si="4"/>
        <v>168</v>
      </c>
      <c r="E38" s="20">
        <f t="shared" si="5"/>
        <v>0.20238095238095238</v>
      </c>
      <c r="F38" s="30">
        <f t="shared" si="0"/>
        <v>0.69328593914581083</v>
      </c>
      <c r="G38" s="32">
        <f t="shared" si="1"/>
        <v>0.30671406085418917</v>
      </c>
      <c r="H38" s="2">
        <f t="shared" si="2"/>
        <v>-84.619157509375881</v>
      </c>
      <c r="I38" s="2">
        <f t="shared" si="3"/>
        <v>-89.268447426878041</v>
      </c>
      <c r="R38" s="24"/>
      <c r="S38" s="25"/>
      <c r="T38" s="1"/>
      <c r="U38" s="1"/>
      <c r="V38" s="1"/>
      <c r="W38" s="1"/>
      <c r="X38" s="1"/>
      <c r="Y38" s="1"/>
      <c r="Z38" s="1"/>
      <c r="AA38" s="1"/>
      <c r="AB38" s="1"/>
      <c r="AC38" s="1"/>
      <c r="AD38" s="1"/>
    </row>
    <row r="39" spans="1:30">
      <c r="A39" s="20">
        <f t="shared" si="6"/>
        <v>3.5</v>
      </c>
      <c r="B39" s="20">
        <v>57</v>
      </c>
      <c r="C39" s="20">
        <v>132</v>
      </c>
      <c r="D39" s="20">
        <f t="shared" si="4"/>
        <v>189</v>
      </c>
      <c r="E39" s="20">
        <f t="shared" si="5"/>
        <v>0.30158730158730157</v>
      </c>
      <c r="F39" s="30">
        <f t="shared" si="0"/>
        <v>0.58426364729817881</v>
      </c>
      <c r="G39" s="32">
        <f t="shared" si="1"/>
        <v>0.41573635270182119</v>
      </c>
      <c r="H39" s="2">
        <f t="shared" si="2"/>
        <v>-115.7064097983021</v>
      </c>
      <c r="I39" s="2">
        <f t="shared" si="3"/>
        <v>-120.96631629625324</v>
      </c>
      <c r="R39" s="24"/>
      <c r="S39" s="25"/>
      <c r="T39" s="1"/>
      <c r="U39" s="1"/>
      <c r="V39" s="1"/>
      <c r="W39" s="1"/>
      <c r="X39" s="1"/>
      <c r="Y39" s="1"/>
      <c r="Z39" s="1"/>
      <c r="AA39" s="1"/>
      <c r="AB39" s="1"/>
      <c r="AC39" s="1"/>
      <c r="AD39" s="1"/>
    </row>
    <row r="40" spans="1:30">
      <c r="A40" s="20">
        <f t="shared" si="6"/>
        <v>4.5</v>
      </c>
      <c r="B40" s="20">
        <v>95</v>
      </c>
      <c r="C40" s="20">
        <v>124</v>
      </c>
      <c r="D40" s="20">
        <f t="shared" si="4"/>
        <v>219</v>
      </c>
      <c r="E40" s="20">
        <f t="shared" si="5"/>
        <v>0.43378995433789952</v>
      </c>
      <c r="F40" s="30">
        <f t="shared" si="0"/>
        <v>0.48871940265808178</v>
      </c>
      <c r="G40" s="32">
        <f t="shared" si="1"/>
        <v>0.51128059734191822</v>
      </c>
      <c r="H40" s="2">
        <f t="shared" si="2"/>
        <v>-149.87348999273775</v>
      </c>
      <c r="I40" s="2">
        <f t="shared" si="3"/>
        <v>-152.50936874438727</v>
      </c>
      <c r="R40" s="24"/>
      <c r="S40" s="25"/>
      <c r="T40" s="1"/>
      <c r="U40" s="1"/>
      <c r="V40" s="1"/>
      <c r="W40" s="1"/>
      <c r="X40" s="1"/>
      <c r="Y40" s="1"/>
      <c r="Z40" s="1"/>
      <c r="AA40" s="1"/>
      <c r="AB40" s="1"/>
      <c r="AC40" s="1"/>
      <c r="AD40" s="1"/>
    </row>
    <row r="41" spans="1:30">
      <c r="A41" s="20">
        <f t="shared" si="6"/>
        <v>5.5</v>
      </c>
      <c r="B41" s="20">
        <v>104</v>
      </c>
      <c r="C41" s="20">
        <v>91</v>
      </c>
      <c r="D41" s="20">
        <f t="shared" si="4"/>
        <v>195</v>
      </c>
      <c r="E41" s="20">
        <f t="shared" si="5"/>
        <v>0.53333333333333333</v>
      </c>
      <c r="F41" s="30">
        <f t="shared" si="0"/>
        <v>0.4083076805728082</v>
      </c>
      <c r="G41" s="32">
        <f t="shared" si="1"/>
        <v>0.5916923194271918</v>
      </c>
      <c r="H41" s="2">
        <f t="shared" si="2"/>
        <v>-134.73004531619452</v>
      </c>
      <c r="I41" s="2">
        <f t="shared" si="3"/>
        <v>-136.08774357543504</v>
      </c>
      <c r="R41" s="24"/>
      <c r="S41" s="25"/>
      <c r="T41" s="1"/>
      <c r="U41" s="1"/>
      <c r="V41" s="1"/>
      <c r="W41" s="1"/>
      <c r="X41" s="1"/>
      <c r="Y41" s="1"/>
      <c r="Z41" s="1"/>
      <c r="AA41" s="1"/>
      <c r="AB41" s="1"/>
      <c r="AC41" s="1"/>
      <c r="AD41" s="1"/>
    </row>
    <row r="42" spans="1:30">
      <c r="A42" s="20">
        <f t="shared" si="6"/>
        <v>6.5</v>
      </c>
      <c r="B42" s="20">
        <v>90</v>
      </c>
      <c r="C42" s="20">
        <v>74</v>
      </c>
      <c r="D42" s="20">
        <f t="shared" si="4"/>
        <v>164</v>
      </c>
      <c r="E42" s="20">
        <f t="shared" si="5"/>
        <v>0.54878048780487809</v>
      </c>
      <c r="F42" s="30">
        <f t="shared" si="0"/>
        <v>0.34106008894074508</v>
      </c>
      <c r="G42" s="32">
        <f t="shared" si="1"/>
        <v>0.65893991105925487</v>
      </c>
      <c r="H42" s="2">
        <f t="shared" si="2"/>
        <v>-112.89440693633613</v>
      </c>
      <c r="I42" s="2">
        <f t="shared" si="3"/>
        <v>-117.14261240338054</v>
      </c>
      <c r="R42" s="24"/>
      <c r="S42" s="25"/>
      <c r="T42" s="1"/>
      <c r="U42" s="1"/>
      <c r="V42" s="1"/>
      <c r="W42" s="1"/>
      <c r="X42" s="1"/>
      <c r="Y42" s="1"/>
      <c r="Z42" s="1"/>
      <c r="AA42" s="1"/>
      <c r="AB42" s="1"/>
      <c r="AC42" s="1"/>
      <c r="AD42" s="1"/>
    </row>
    <row r="43" spans="1:30">
      <c r="A43" s="20">
        <f t="shared" si="6"/>
        <v>7.5</v>
      </c>
      <c r="B43" s="20">
        <v>96</v>
      </c>
      <c r="C43" s="20">
        <v>49</v>
      </c>
      <c r="D43" s="20">
        <f t="shared" si="4"/>
        <v>145</v>
      </c>
      <c r="E43" s="20">
        <f t="shared" si="5"/>
        <v>0.66206896551724137</v>
      </c>
      <c r="F43" s="30">
        <f t="shared" si="0"/>
        <v>0.2848790711467814</v>
      </c>
      <c r="G43" s="32">
        <f t="shared" si="1"/>
        <v>0.71512092885321854</v>
      </c>
      <c r="H43" s="2">
        <f t="shared" si="2"/>
        <v>-92.749771662650303</v>
      </c>
      <c r="I43" s="2">
        <f t="shared" si="3"/>
        <v>-93.717981981011661</v>
      </c>
      <c r="R43" s="24"/>
      <c r="S43" s="25"/>
      <c r="T43" s="1"/>
      <c r="U43" s="1"/>
      <c r="V43" s="1"/>
      <c r="W43" s="1"/>
      <c r="X43" s="1"/>
      <c r="Y43" s="1"/>
      <c r="Z43" s="1"/>
      <c r="AA43" s="1"/>
      <c r="AB43" s="1"/>
      <c r="AC43" s="1"/>
      <c r="AD43" s="1"/>
    </row>
    <row r="44" spans="1:30">
      <c r="A44" s="20">
        <f t="shared" si="6"/>
        <v>8.5</v>
      </c>
      <c r="B44" s="20">
        <v>134</v>
      </c>
      <c r="C44" s="20">
        <v>46</v>
      </c>
      <c r="D44" s="20">
        <f t="shared" si="4"/>
        <v>180</v>
      </c>
      <c r="E44" s="20">
        <f t="shared" si="5"/>
        <v>0.74444444444444446</v>
      </c>
      <c r="F44" s="30">
        <f t="shared" si="0"/>
        <v>0.23795123727102185</v>
      </c>
      <c r="G44" s="32">
        <f t="shared" si="1"/>
        <v>0.76204876272897815</v>
      </c>
      <c r="H44" s="2">
        <f t="shared" si="2"/>
        <v>-102.30419572831737</v>
      </c>
      <c r="I44" s="2">
        <f t="shared" si="3"/>
        <v>-102.45551166192922</v>
      </c>
      <c r="R44" s="24"/>
      <c r="S44" s="25"/>
      <c r="T44" s="1"/>
      <c r="U44" s="1"/>
      <c r="V44" s="1"/>
      <c r="W44" s="1"/>
      <c r="X44" s="1"/>
      <c r="Y44" s="1"/>
      <c r="Z44" s="1"/>
      <c r="AA44" s="1"/>
      <c r="AB44" s="1"/>
      <c r="AC44" s="1"/>
      <c r="AD44" s="1"/>
    </row>
    <row r="45" spans="1:30">
      <c r="A45" s="20">
        <f t="shared" si="6"/>
        <v>9.5</v>
      </c>
      <c r="B45" s="20">
        <v>110</v>
      </c>
      <c r="C45" s="20">
        <v>50</v>
      </c>
      <c r="D45" s="20">
        <f t="shared" si="4"/>
        <v>160</v>
      </c>
      <c r="E45" s="20">
        <f t="shared" si="5"/>
        <v>0.6875</v>
      </c>
      <c r="F45" s="30">
        <f t="shared" si="0"/>
        <v>0.19875361210365455</v>
      </c>
      <c r="G45" s="32">
        <f t="shared" si="1"/>
        <v>0.80124638789634539</v>
      </c>
      <c r="H45" s="2">
        <f t="shared" si="2"/>
        <v>-99.373819928839225</v>
      </c>
      <c r="I45" s="2">
        <f t="shared" si="3"/>
        <v>-105.15901324806157</v>
      </c>
      <c r="R45" s="24"/>
      <c r="S45" s="25"/>
      <c r="T45" s="1"/>
      <c r="U45" s="1"/>
      <c r="V45" s="1"/>
      <c r="W45" s="1"/>
      <c r="X45" s="1"/>
      <c r="Y45" s="1"/>
      <c r="Z45" s="1"/>
      <c r="AA45" s="1"/>
      <c r="AB45" s="1"/>
      <c r="AC45" s="1"/>
      <c r="AD45" s="1"/>
    </row>
    <row r="46" spans="1:30">
      <c r="A46" s="20">
        <f t="shared" si="6"/>
        <v>10.5</v>
      </c>
      <c r="B46" s="20">
        <v>111</v>
      </c>
      <c r="C46" s="20">
        <v>37</v>
      </c>
      <c r="D46" s="20">
        <f t="shared" si="4"/>
        <v>148</v>
      </c>
      <c r="E46" s="20">
        <f t="shared" si="5"/>
        <v>0.75</v>
      </c>
      <c r="F46" s="30">
        <f t="shared" si="0"/>
        <v>0.16601297591001629</v>
      </c>
      <c r="G46" s="32">
        <f t="shared" si="1"/>
        <v>0.83398702408998371</v>
      </c>
      <c r="H46" s="2">
        <f t="shared" si="2"/>
        <v>-83.225601403583624</v>
      </c>
      <c r="I46" s="2">
        <f t="shared" si="3"/>
        <v>-86.591160373511514</v>
      </c>
      <c r="R46" s="24"/>
      <c r="S46" s="25"/>
      <c r="T46" s="1"/>
      <c r="U46" s="1"/>
      <c r="V46" s="1"/>
      <c r="W46" s="1"/>
      <c r="X46" s="1"/>
      <c r="Y46" s="1"/>
      <c r="Z46" s="1"/>
      <c r="AA46" s="1"/>
      <c r="AB46" s="1"/>
      <c r="AC46" s="1"/>
      <c r="AD46" s="1"/>
    </row>
    <row r="47" spans="1:30">
      <c r="A47" s="20">
        <f t="shared" si="6"/>
        <v>11.5</v>
      </c>
      <c r="B47" s="20">
        <v>147</v>
      </c>
      <c r="C47" s="20">
        <v>31</v>
      </c>
      <c r="D47" s="20">
        <f t="shared" si="4"/>
        <v>178</v>
      </c>
      <c r="E47" s="20">
        <f t="shared" si="5"/>
        <v>0.8258426966292135</v>
      </c>
      <c r="F47" s="30">
        <f t="shared" si="0"/>
        <v>0.13866569406859336</v>
      </c>
      <c r="G47" s="32">
        <f t="shared" si="1"/>
        <v>0.8613343059314067</v>
      </c>
      <c r="H47" s="2">
        <f t="shared" ref="H47:H79" si="7">IF(OR(E47=0,E47=1),0,B47*LN(E47)+C47*LN(1-E47))</f>
        <v>-82.310278356477383</v>
      </c>
      <c r="I47" s="2">
        <f t="shared" ref="I47:I79" si="8">IF(OR(G47=0,G47=1),0,B47*LN(G47)+C47*LN(1-G47))</f>
        <v>-83.189437276547963</v>
      </c>
      <c r="R47" s="24"/>
      <c r="S47" s="25"/>
      <c r="T47" s="1"/>
      <c r="U47" s="1"/>
      <c r="V47" s="1"/>
      <c r="W47" s="1"/>
      <c r="X47" s="1"/>
      <c r="Y47" s="1"/>
      <c r="Z47" s="1"/>
      <c r="AA47" s="1"/>
      <c r="AB47" s="1"/>
      <c r="AC47" s="1"/>
      <c r="AD47" s="1"/>
    </row>
    <row r="48" spans="1:30">
      <c r="A48" s="20">
        <f t="shared" si="6"/>
        <v>12.5</v>
      </c>
      <c r="B48" s="20">
        <v>138</v>
      </c>
      <c r="C48" s="20">
        <v>39</v>
      </c>
      <c r="D48" s="20">
        <f t="shared" si="4"/>
        <v>177</v>
      </c>
      <c r="E48" s="20">
        <f t="shared" si="5"/>
        <v>0.77966101694915257</v>
      </c>
      <c r="F48" s="30">
        <f t="shared" si="0"/>
        <v>0.11582332367909492</v>
      </c>
      <c r="G48" s="32">
        <f t="shared" si="1"/>
        <v>0.88417667632090513</v>
      </c>
      <c r="H48" s="2">
        <f t="shared" si="7"/>
        <v>-93.338589914817305</v>
      </c>
      <c r="I48" s="2">
        <f t="shared" si="8"/>
        <v>-101.05945942444329</v>
      </c>
      <c r="R48" s="24"/>
      <c r="S48" s="25"/>
      <c r="T48" s="1"/>
      <c r="U48" s="1"/>
      <c r="V48" s="1"/>
      <c r="W48" s="1"/>
      <c r="X48" s="1"/>
      <c r="Y48" s="1"/>
      <c r="Z48" s="1"/>
      <c r="AA48" s="1"/>
      <c r="AB48" s="1"/>
      <c r="AC48" s="1"/>
      <c r="AD48" s="1"/>
    </row>
    <row r="49" spans="1:30">
      <c r="A49" s="20">
        <f t="shared" si="6"/>
        <v>13.5</v>
      </c>
      <c r="B49" s="20">
        <v>141</v>
      </c>
      <c r="C49" s="20">
        <v>24</v>
      </c>
      <c r="D49" s="20">
        <f t="shared" si="4"/>
        <v>165</v>
      </c>
      <c r="E49" s="20">
        <f t="shared" si="5"/>
        <v>0.8545454545454545</v>
      </c>
      <c r="F49" s="30">
        <f t="shared" si="0"/>
        <v>9.67437720664759E-2</v>
      </c>
      <c r="G49" s="32">
        <f t="shared" si="1"/>
        <v>0.90325622793352411</v>
      </c>
      <c r="H49" s="2">
        <f t="shared" si="7"/>
        <v>-68.432566721923379</v>
      </c>
      <c r="I49" s="2">
        <f t="shared" si="8"/>
        <v>-70.403154660255552</v>
      </c>
      <c r="R49" s="24"/>
      <c r="S49" s="25"/>
      <c r="T49" s="1"/>
      <c r="U49" s="1"/>
      <c r="V49" s="1"/>
      <c r="W49" s="1"/>
      <c r="X49" s="1"/>
      <c r="Y49" s="1"/>
      <c r="Z49" s="1"/>
      <c r="AA49" s="1"/>
      <c r="AB49" s="1"/>
      <c r="AC49" s="1"/>
      <c r="AD49" s="1"/>
    </row>
    <row r="50" spans="1:30">
      <c r="A50" s="20">
        <f t="shared" si="6"/>
        <v>14.5</v>
      </c>
      <c r="B50" s="20">
        <v>53</v>
      </c>
      <c r="C50" s="20">
        <v>14</v>
      </c>
      <c r="D50" s="20">
        <f t="shared" si="4"/>
        <v>67</v>
      </c>
      <c r="E50" s="20">
        <f t="shared" si="5"/>
        <v>0.79104477611940294</v>
      </c>
      <c r="F50" s="30">
        <f t="shared" si="0"/>
        <v>8.0807190948134863E-2</v>
      </c>
      <c r="G50" s="32">
        <f t="shared" si="1"/>
        <v>0.91919280905186518</v>
      </c>
      <c r="H50" s="2">
        <f t="shared" si="7"/>
        <v>-34.342131466318648</v>
      </c>
      <c r="I50" s="2">
        <f t="shared" si="8"/>
        <v>-39.685397390478343</v>
      </c>
      <c r="R50" s="24"/>
      <c r="S50" s="25"/>
      <c r="T50" s="1"/>
      <c r="U50" s="1"/>
      <c r="V50" s="1"/>
      <c r="W50" s="1"/>
      <c r="X50" s="1"/>
      <c r="Y50" s="1"/>
      <c r="Z50" s="1"/>
      <c r="AA50" s="1"/>
      <c r="AB50" s="1"/>
      <c r="AC50" s="1"/>
      <c r="AD50" s="1"/>
    </row>
    <row r="51" spans="1:30">
      <c r="A51" s="20">
        <f t="shared" si="6"/>
        <v>15.5</v>
      </c>
      <c r="B51" s="20">
        <v>49</v>
      </c>
      <c r="C51" s="20">
        <v>9</v>
      </c>
      <c r="D51" s="20">
        <f t="shared" si="4"/>
        <v>58</v>
      </c>
      <c r="E51" s="20">
        <f t="shared" si="5"/>
        <v>0.84482758620689657</v>
      </c>
      <c r="F51" s="30">
        <f t="shared" si="0"/>
        <v>6.7495839466995278E-2</v>
      </c>
      <c r="G51" s="32">
        <f t="shared" si="1"/>
        <v>0.93250416053300467</v>
      </c>
      <c r="H51" s="2">
        <f t="shared" si="7"/>
        <v>-25.031478808245645</v>
      </c>
      <c r="I51" s="2">
        <f t="shared" si="8"/>
        <v>-27.685405507813719</v>
      </c>
      <c r="R51" s="24"/>
      <c r="S51" s="25"/>
      <c r="T51" s="1"/>
      <c r="U51" s="1"/>
      <c r="V51" s="1"/>
      <c r="W51" s="1"/>
      <c r="X51" s="1"/>
      <c r="Y51" s="1"/>
      <c r="Z51" s="1"/>
      <c r="AA51" s="1"/>
      <c r="AB51" s="1"/>
      <c r="AC51" s="1"/>
      <c r="AD51" s="1"/>
    </row>
    <row r="52" spans="1:30">
      <c r="A52" s="20">
        <f t="shared" si="6"/>
        <v>16.5</v>
      </c>
      <c r="B52" s="20">
        <v>73</v>
      </c>
      <c r="C52" s="20">
        <v>8</v>
      </c>
      <c r="D52" s="20">
        <f t="shared" si="4"/>
        <v>81</v>
      </c>
      <c r="E52" s="20">
        <f t="shared" si="5"/>
        <v>0.90123456790123457</v>
      </c>
      <c r="F52" s="30">
        <f t="shared" si="0"/>
        <v>5.6377264101004923E-2</v>
      </c>
      <c r="G52" s="32">
        <f t="shared" si="1"/>
        <v>0.94362273589899504</v>
      </c>
      <c r="H52" s="2">
        <f t="shared" si="7"/>
        <v>-26.1113099911963</v>
      </c>
      <c r="I52" s="2">
        <f t="shared" si="8"/>
        <v>-27.241619657233329</v>
      </c>
      <c r="R52" s="24"/>
      <c r="S52" s="25"/>
      <c r="T52" s="1"/>
      <c r="U52" s="1"/>
      <c r="V52" s="1"/>
      <c r="W52" s="1"/>
      <c r="X52" s="1"/>
      <c r="Y52" s="1"/>
      <c r="Z52" s="1"/>
      <c r="AA52" s="1"/>
      <c r="AB52" s="1"/>
      <c r="AC52" s="1"/>
      <c r="AD52" s="1"/>
    </row>
    <row r="53" spans="1:30">
      <c r="A53" s="20">
        <f t="shared" si="6"/>
        <v>17.5</v>
      </c>
      <c r="B53" s="20">
        <v>69</v>
      </c>
      <c r="C53" s="20">
        <v>10</v>
      </c>
      <c r="D53" s="20">
        <f t="shared" si="4"/>
        <v>79</v>
      </c>
      <c r="E53" s="20">
        <f t="shared" si="5"/>
        <v>0.87341772151898733</v>
      </c>
      <c r="F53" s="30">
        <f t="shared" si="0"/>
        <v>4.7090249304439072E-2</v>
      </c>
      <c r="G53" s="32">
        <f t="shared" si="1"/>
        <v>0.95290975069556094</v>
      </c>
      <c r="H53" s="2">
        <f t="shared" si="7"/>
        <v>-30.007180597743343</v>
      </c>
      <c r="I53" s="2">
        <f t="shared" si="8"/>
        <v>-33.885113727137274</v>
      </c>
      <c r="R53" s="24"/>
      <c r="S53" s="25"/>
      <c r="T53" s="1"/>
      <c r="U53" s="1"/>
      <c r="V53" s="1"/>
      <c r="W53" s="1"/>
      <c r="X53" s="1"/>
      <c r="Y53" s="1"/>
      <c r="Z53" s="1"/>
      <c r="AA53" s="1"/>
      <c r="AB53" s="1"/>
      <c r="AC53" s="1"/>
      <c r="AD53" s="1"/>
    </row>
    <row r="54" spans="1:30">
      <c r="A54" s="20">
        <f t="shared" si="6"/>
        <v>18.5</v>
      </c>
      <c r="B54" s="20">
        <v>97</v>
      </c>
      <c r="C54" s="20">
        <v>14</v>
      </c>
      <c r="D54" s="20">
        <f t="shared" si="4"/>
        <v>111</v>
      </c>
      <c r="E54" s="20">
        <f t="shared" si="5"/>
        <v>0.87387387387387383</v>
      </c>
      <c r="F54" s="30">
        <f t="shared" si="0"/>
        <v>3.9333082491928802E-2</v>
      </c>
      <c r="G54" s="32">
        <f t="shared" si="1"/>
        <v>0.96066691750807121</v>
      </c>
      <c r="H54" s="2">
        <f t="shared" si="7"/>
        <v>-42.064084816227336</v>
      </c>
      <c r="I54" s="2">
        <f t="shared" si="8"/>
        <v>-49.19202089536676</v>
      </c>
      <c r="R54" s="24"/>
      <c r="S54" s="25"/>
      <c r="T54" s="1"/>
      <c r="U54" s="1"/>
      <c r="V54" s="1"/>
      <c r="W54" s="1"/>
      <c r="X54" s="1"/>
      <c r="Y54" s="1"/>
      <c r="Z54" s="1"/>
      <c r="AA54" s="1"/>
      <c r="AB54" s="1"/>
      <c r="AC54" s="1"/>
      <c r="AD54" s="1"/>
    </row>
    <row r="55" spans="1:30">
      <c r="A55" s="20">
        <f t="shared" si="6"/>
        <v>19.5</v>
      </c>
      <c r="B55" s="20">
        <v>65</v>
      </c>
      <c r="C55" s="20">
        <v>11</v>
      </c>
      <c r="D55" s="20">
        <f t="shared" si="4"/>
        <v>76</v>
      </c>
      <c r="E55" s="20">
        <f t="shared" si="5"/>
        <v>0.85526315789473684</v>
      </c>
      <c r="F55" s="30">
        <f t="shared" si="0"/>
        <v>3.2853752128490447E-2</v>
      </c>
      <c r="G55" s="32">
        <f t="shared" si="1"/>
        <v>0.9671462478715096</v>
      </c>
      <c r="H55" s="2">
        <f t="shared" si="7"/>
        <v>-31.423713317762672</v>
      </c>
      <c r="I55" s="2">
        <f t="shared" si="8"/>
        <v>-39.743943679726435</v>
      </c>
      <c r="R55" s="24"/>
      <c r="S55" s="25"/>
      <c r="T55" s="1"/>
      <c r="U55" s="1"/>
      <c r="V55" s="1"/>
      <c r="W55" s="1"/>
      <c r="X55" s="1"/>
      <c r="Y55" s="1"/>
      <c r="Z55" s="1"/>
      <c r="AA55" s="1"/>
      <c r="AB55" s="1"/>
      <c r="AC55" s="1"/>
      <c r="AD55" s="1"/>
    </row>
    <row r="56" spans="1:30">
      <c r="A56" s="20">
        <f t="shared" si="6"/>
        <v>20.5</v>
      </c>
      <c r="B56" s="20">
        <v>74</v>
      </c>
      <c r="C56" s="20">
        <v>8</v>
      </c>
      <c r="D56" s="20">
        <f t="shared" si="4"/>
        <v>82</v>
      </c>
      <c r="E56" s="20">
        <f t="shared" si="5"/>
        <v>0.90243902439024393</v>
      </c>
      <c r="F56" s="30">
        <f t="shared" si="0"/>
        <v>2.7441760486017753E-2</v>
      </c>
      <c r="G56" s="32">
        <f t="shared" si="1"/>
        <v>0.97255823951398224</v>
      </c>
      <c r="H56" s="2">
        <f t="shared" si="7"/>
        <v>-26.214629045121509</v>
      </c>
      <c r="I56" s="2">
        <f t="shared" si="8"/>
        <v>-30.824588162308736</v>
      </c>
      <c r="R56" s="24"/>
      <c r="S56" s="25"/>
      <c r="T56" s="1"/>
      <c r="U56" s="1"/>
      <c r="V56" s="1"/>
      <c r="W56" s="1"/>
      <c r="X56" s="1"/>
      <c r="Y56" s="1"/>
      <c r="Z56" s="1"/>
      <c r="AA56" s="1"/>
      <c r="AB56" s="1"/>
      <c r="AC56" s="1"/>
      <c r="AD56" s="1"/>
    </row>
    <row r="57" spans="1:30">
      <c r="A57" s="20">
        <f t="shared" si="6"/>
        <v>21.5</v>
      </c>
      <c r="B57" s="20">
        <v>84</v>
      </c>
      <c r="C57" s="20">
        <v>17</v>
      </c>
      <c r="D57" s="20">
        <f t="shared" si="4"/>
        <v>101</v>
      </c>
      <c r="E57" s="20">
        <f t="shared" si="5"/>
        <v>0.83168316831683164</v>
      </c>
      <c r="F57" s="30">
        <f t="shared" si="0"/>
        <v>2.2921285082653543E-2</v>
      </c>
      <c r="G57" s="32">
        <f t="shared" si="1"/>
        <v>0.97707871491734644</v>
      </c>
      <c r="H57" s="2">
        <f t="shared" si="7"/>
        <v>-45.773934249173188</v>
      </c>
      <c r="I57" s="2">
        <f t="shared" si="8"/>
        <v>-66.134515674114169</v>
      </c>
      <c r="R57" s="24"/>
      <c r="S57" s="25"/>
      <c r="T57" s="1"/>
      <c r="U57" s="1"/>
      <c r="V57" s="1"/>
      <c r="W57" s="1"/>
      <c r="X57" s="1"/>
      <c r="Y57" s="1"/>
      <c r="Z57" s="1"/>
      <c r="AA57" s="1"/>
      <c r="AB57" s="1"/>
      <c r="AC57" s="1"/>
      <c r="AD57" s="1"/>
    </row>
    <row r="58" spans="1:30">
      <c r="A58" s="20">
        <f t="shared" si="6"/>
        <v>22.5</v>
      </c>
      <c r="B58" s="20">
        <v>82</v>
      </c>
      <c r="C58" s="20">
        <v>6</v>
      </c>
      <c r="D58" s="20">
        <f t="shared" si="4"/>
        <v>88</v>
      </c>
      <c r="E58" s="20">
        <f t="shared" si="5"/>
        <v>0.93181818181818177</v>
      </c>
      <c r="F58" s="30">
        <f t="shared" si="0"/>
        <v>1.9145466636806059E-2</v>
      </c>
      <c r="G58" s="32">
        <f t="shared" si="1"/>
        <v>0.98085453336319395</v>
      </c>
      <c r="H58" s="2">
        <f t="shared" si="7"/>
        <v>-21.904104583045083</v>
      </c>
      <c r="I58" s="2">
        <f t="shared" si="8"/>
        <v>-25.319287307693685</v>
      </c>
      <c r="R58" s="24"/>
      <c r="S58" s="25"/>
      <c r="T58" s="1"/>
      <c r="U58" s="1"/>
      <c r="V58" s="1"/>
      <c r="W58" s="1"/>
      <c r="X58" s="1"/>
      <c r="Y58" s="1"/>
      <c r="Z58" s="1"/>
      <c r="AA58" s="1"/>
      <c r="AB58" s="1"/>
      <c r="AC58" s="1"/>
      <c r="AD58" s="1"/>
    </row>
    <row r="59" spans="1:30">
      <c r="A59" s="20">
        <f t="shared" si="6"/>
        <v>23.5</v>
      </c>
      <c r="B59" s="20">
        <v>79</v>
      </c>
      <c r="C59" s="20">
        <v>6</v>
      </c>
      <c r="D59" s="20">
        <f t="shared" si="4"/>
        <v>85</v>
      </c>
      <c r="E59" s="20">
        <f t="shared" si="5"/>
        <v>0.92941176470588238</v>
      </c>
      <c r="F59" s="30">
        <f t="shared" si="0"/>
        <v>1.5991637965292457E-2</v>
      </c>
      <c r="G59" s="32">
        <f t="shared" si="1"/>
        <v>0.98400836203470754</v>
      </c>
      <c r="H59" s="2">
        <f t="shared" si="7"/>
        <v>-21.688419641413869</v>
      </c>
      <c r="I59" s="2">
        <f t="shared" si="8"/>
        <v>-26.087685756268503</v>
      </c>
      <c r="R59" s="24"/>
      <c r="S59" s="25"/>
      <c r="T59" s="1"/>
      <c r="U59" s="1"/>
      <c r="V59" s="1"/>
      <c r="W59" s="1"/>
      <c r="X59" s="1"/>
      <c r="Y59" s="1"/>
      <c r="Z59" s="1"/>
      <c r="AA59" s="1"/>
      <c r="AB59" s="1"/>
      <c r="AC59" s="1"/>
      <c r="AD59" s="1"/>
    </row>
    <row r="60" spans="1:30">
      <c r="A60" s="20">
        <f t="shared" si="6"/>
        <v>24.5</v>
      </c>
      <c r="B60" s="20">
        <v>90</v>
      </c>
      <c r="C60" s="20">
        <v>4</v>
      </c>
      <c r="D60" s="20">
        <f t="shared" si="4"/>
        <v>94</v>
      </c>
      <c r="E60" s="20">
        <f t="shared" si="5"/>
        <v>0.95744680851063835</v>
      </c>
      <c r="F60" s="30">
        <f t="shared" si="0"/>
        <v>1.3357338824082346E-2</v>
      </c>
      <c r="G60" s="32">
        <f t="shared" si="1"/>
        <v>0.9866426611759177</v>
      </c>
      <c r="H60" s="2">
        <f t="shared" si="7"/>
        <v>-16.541661759176947</v>
      </c>
      <c r="I60" s="2">
        <f t="shared" si="8"/>
        <v>-18.473018828680136</v>
      </c>
      <c r="R60" s="24"/>
      <c r="S60" s="25"/>
      <c r="T60" s="1"/>
      <c r="U60" s="1"/>
      <c r="V60" s="1"/>
      <c r="W60" s="1"/>
      <c r="X60" s="1"/>
      <c r="Y60" s="1"/>
      <c r="Z60" s="1"/>
      <c r="AA60" s="1"/>
      <c r="AB60" s="1"/>
      <c r="AC60" s="1"/>
      <c r="AD60" s="1"/>
    </row>
    <row r="61" spans="1:30">
      <c r="A61" s="20">
        <f t="shared" si="6"/>
        <v>25.5</v>
      </c>
      <c r="B61" s="20">
        <v>84</v>
      </c>
      <c r="C61" s="20">
        <v>7</v>
      </c>
      <c r="D61" s="20">
        <f t="shared" si="4"/>
        <v>91</v>
      </c>
      <c r="E61" s="20">
        <f t="shared" si="5"/>
        <v>0.92307692307692313</v>
      </c>
      <c r="F61" s="30">
        <f t="shared" si="0"/>
        <v>1.1156987223483256E-2</v>
      </c>
      <c r="G61" s="32">
        <f t="shared" si="1"/>
        <v>0.98884301277651676</v>
      </c>
      <c r="H61" s="2">
        <f t="shared" si="7"/>
        <v>-24.678232946807817</v>
      </c>
      <c r="I61" s="2">
        <f t="shared" si="8"/>
        <v>-32.412279476580068</v>
      </c>
      <c r="R61" s="24"/>
      <c r="S61" s="25"/>
      <c r="T61" s="1"/>
      <c r="U61" s="1"/>
      <c r="V61" s="1"/>
      <c r="W61" s="1"/>
      <c r="X61" s="1"/>
      <c r="Y61" s="1"/>
      <c r="Z61" s="1"/>
      <c r="AA61" s="1"/>
      <c r="AB61" s="1"/>
      <c r="AC61" s="1"/>
      <c r="AD61" s="1"/>
    </row>
    <row r="62" spans="1:30">
      <c r="A62" s="20">
        <f t="shared" si="6"/>
        <v>26.5</v>
      </c>
      <c r="B62" s="20">
        <v>81</v>
      </c>
      <c r="C62" s="20">
        <v>8</v>
      </c>
      <c r="D62" s="20">
        <f t="shared" si="4"/>
        <v>89</v>
      </c>
      <c r="E62" s="20">
        <f t="shared" si="5"/>
        <v>0.9101123595505618</v>
      </c>
      <c r="F62" s="30">
        <f t="shared" si="0"/>
        <v>9.3190990768717234E-3</v>
      </c>
      <c r="G62" s="32">
        <f t="shared" si="1"/>
        <v>0.99068090092312833</v>
      </c>
      <c r="H62" s="2">
        <f t="shared" si="7"/>
        <v>-26.902723044254216</v>
      </c>
      <c r="I62" s="2">
        <f t="shared" si="8"/>
        <v>-38.163900842157162</v>
      </c>
      <c r="R62" s="24"/>
      <c r="S62" s="25"/>
      <c r="T62" s="1"/>
      <c r="U62" s="1"/>
      <c r="V62" s="1"/>
      <c r="W62" s="1"/>
      <c r="X62" s="1"/>
      <c r="Y62" s="1"/>
      <c r="Z62" s="1"/>
      <c r="AA62" s="1"/>
      <c r="AB62" s="1"/>
      <c r="AC62" s="1"/>
      <c r="AD62" s="1"/>
    </row>
    <row r="63" spans="1:30">
      <c r="A63" s="20">
        <f t="shared" si="6"/>
        <v>27.5</v>
      </c>
      <c r="B63" s="20">
        <v>72</v>
      </c>
      <c r="C63" s="20">
        <v>4</v>
      </c>
      <c r="D63" s="20">
        <f t="shared" si="4"/>
        <v>76</v>
      </c>
      <c r="E63" s="20">
        <f t="shared" si="5"/>
        <v>0.94736842105263153</v>
      </c>
      <c r="F63" s="30">
        <f t="shared" si="0"/>
        <v>7.7839658561012284E-3</v>
      </c>
      <c r="G63" s="32">
        <f t="shared" si="1"/>
        <v>0.99221603414389881</v>
      </c>
      <c r="H63" s="2">
        <f t="shared" si="7"/>
        <v>-15.670595848125616</v>
      </c>
      <c r="I63" s="2">
        <f t="shared" si="8"/>
        <v>-19.985395453884664</v>
      </c>
      <c r="R63" s="24"/>
      <c r="S63" s="25"/>
      <c r="T63" s="1"/>
      <c r="U63" s="1"/>
      <c r="V63" s="1"/>
      <c r="W63" s="1"/>
      <c r="X63" s="1"/>
      <c r="Y63" s="1"/>
      <c r="Z63" s="1"/>
      <c r="AA63" s="1"/>
      <c r="AB63" s="1"/>
      <c r="AC63" s="1"/>
      <c r="AD63" s="1"/>
    </row>
    <row r="64" spans="1:30">
      <c r="A64" s="20">
        <f t="shared" si="6"/>
        <v>28.5</v>
      </c>
      <c r="B64" s="20">
        <v>71</v>
      </c>
      <c r="C64" s="20">
        <v>8</v>
      </c>
      <c r="D64" s="20">
        <f t="shared" si="4"/>
        <v>79</v>
      </c>
      <c r="E64" s="20">
        <f t="shared" si="5"/>
        <v>0.89873417721518989</v>
      </c>
      <c r="F64" s="30">
        <f t="shared" si="0"/>
        <v>6.5017148062437987E-3</v>
      </c>
      <c r="G64" s="32">
        <f t="shared" si="1"/>
        <v>0.99349828519375616</v>
      </c>
      <c r="H64" s="2">
        <f t="shared" si="7"/>
        <v>-25.900576741522617</v>
      </c>
      <c r="I64" s="2">
        <f t="shared" si="8"/>
        <v>-40.748643518448667</v>
      </c>
      <c r="R64" s="24"/>
      <c r="S64" s="25"/>
      <c r="T64" s="1"/>
      <c r="U64" s="1"/>
      <c r="V64" s="1"/>
      <c r="W64" s="1"/>
      <c r="X64" s="1"/>
      <c r="Y64" s="1"/>
      <c r="Z64" s="1"/>
      <c r="AA64" s="1"/>
      <c r="AB64" s="1"/>
      <c r="AC64" s="1"/>
      <c r="AD64" s="1"/>
    </row>
    <row r="65" spans="1:30">
      <c r="A65" s="20">
        <f t="shared" si="6"/>
        <v>29.5</v>
      </c>
      <c r="B65" s="20">
        <v>51</v>
      </c>
      <c r="C65" s="20">
        <v>5</v>
      </c>
      <c r="D65" s="20">
        <f t="shared" si="4"/>
        <v>56</v>
      </c>
      <c r="E65" s="20">
        <f t="shared" si="5"/>
        <v>0.9107142857142857</v>
      </c>
      <c r="F65" s="30">
        <f t="shared" si="0"/>
        <v>5.4306887007470571E-3</v>
      </c>
      <c r="G65" s="32">
        <f t="shared" si="1"/>
        <v>0.99456931129925297</v>
      </c>
      <c r="H65" s="2">
        <f t="shared" si="7"/>
        <v>-16.84939785005724</v>
      </c>
      <c r="I65" s="2">
        <f t="shared" si="8"/>
        <v>-26.356166515991134</v>
      </c>
      <c r="R65" s="24"/>
      <c r="S65" s="25"/>
      <c r="T65" s="1"/>
      <c r="U65" s="1"/>
      <c r="V65" s="1"/>
      <c r="W65" s="1"/>
      <c r="X65" s="1"/>
      <c r="Y65" s="1"/>
      <c r="Z65" s="1"/>
      <c r="AA65" s="1"/>
      <c r="AB65" s="1"/>
      <c r="AC65" s="1"/>
      <c r="AD65" s="1"/>
    </row>
    <row r="66" spans="1:30">
      <c r="A66" s="20">
        <f t="shared" si="6"/>
        <v>30.5</v>
      </c>
      <c r="B66" s="20">
        <v>45</v>
      </c>
      <c r="C66" s="20">
        <v>7</v>
      </c>
      <c r="D66" s="20">
        <f t="shared" si="4"/>
        <v>52</v>
      </c>
      <c r="E66" s="20">
        <f t="shared" si="5"/>
        <v>0.86538461538461542</v>
      </c>
      <c r="F66" s="30">
        <f t="shared" si="0"/>
        <v>4.5360924991817977E-3</v>
      </c>
      <c r="G66" s="32">
        <f t="shared" si="1"/>
        <v>0.99546390750081826</v>
      </c>
      <c r="H66" s="2">
        <f t="shared" si="7"/>
        <v>-20.543490283182642</v>
      </c>
      <c r="I66" s="2">
        <f t="shared" si="8"/>
        <v>-37.974413774014828</v>
      </c>
      <c r="R66" s="24"/>
      <c r="S66" s="25"/>
      <c r="T66" s="1"/>
      <c r="U66" s="1"/>
      <c r="V66" s="1"/>
      <c r="W66" s="1"/>
      <c r="X66" s="1"/>
      <c r="Y66" s="1"/>
      <c r="Z66" s="1"/>
      <c r="AA66" s="1"/>
      <c r="AB66" s="1"/>
      <c r="AC66" s="1"/>
      <c r="AD66" s="1"/>
    </row>
    <row r="67" spans="1:30">
      <c r="A67" s="20">
        <f t="shared" si="6"/>
        <v>31.5</v>
      </c>
      <c r="B67" s="20">
        <v>45</v>
      </c>
      <c r="C67" s="20">
        <v>3</v>
      </c>
      <c r="D67" s="20">
        <f t="shared" si="4"/>
        <v>48</v>
      </c>
      <c r="E67" s="20">
        <f t="shared" si="5"/>
        <v>0.9375</v>
      </c>
      <c r="F67" s="30">
        <f t="shared" si="0"/>
        <v>3.7888629407726664E-3</v>
      </c>
      <c r="G67" s="32">
        <f t="shared" si="1"/>
        <v>0.99621113705922737</v>
      </c>
      <c r="H67" s="2">
        <f t="shared" si="7"/>
        <v>-11.221999617910047</v>
      </c>
      <c r="I67" s="2">
        <f t="shared" si="8"/>
        <v>-16.89789061046449</v>
      </c>
      <c r="R67" s="24"/>
      <c r="S67" s="25"/>
      <c r="T67" s="1"/>
      <c r="U67" s="1"/>
      <c r="V67" s="1"/>
      <c r="W67" s="1"/>
      <c r="X67" s="1"/>
      <c r="Y67" s="1"/>
      <c r="Z67" s="1"/>
      <c r="AA67" s="1"/>
      <c r="AB67" s="1"/>
      <c r="AC67" s="1"/>
      <c r="AD67" s="1"/>
    </row>
    <row r="68" spans="1:30">
      <c r="A68" s="20">
        <f t="shared" si="6"/>
        <v>32.5</v>
      </c>
      <c r="B68" s="20">
        <v>35</v>
      </c>
      <c r="C68" s="20">
        <v>2</v>
      </c>
      <c r="D68" s="20">
        <f t="shared" si="4"/>
        <v>37</v>
      </c>
      <c r="E68" s="20">
        <f t="shared" si="5"/>
        <v>0.94594594594594594</v>
      </c>
      <c r="F68" s="30">
        <f t="shared" si="0"/>
        <v>3.1647243495475197E-3</v>
      </c>
      <c r="G68" s="32">
        <f t="shared" si="1"/>
        <v>0.99683527565045249</v>
      </c>
      <c r="H68" s="2">
        <f t="shared" si="7"/>
        <v>-7.7804862545869344</v>
      </c>
      <c r="I68" s="2">
        <f t="shared" si="8"/>
        <v>-11.622319634864672</v>
      </c>
      <c r="R68" s="24"/>
      <c r="S68" s="25"/>
      <c r="T68" s="1"/>
      <c r="U68" s="1"/>
      <c r="V68" s="1"/>
      <c r="W68" s="1"/>
      <c r="X68" s="1"/>
      <c r="Y68" s="1"/>
      <c r="Z68" s="1"/>
      <c r="AA68" s="1"/>
      <c r="AB68" s="1"/>
      <c r="AC68" s="1"/>
      <c r="AD68" s="1"/>
    </row>
    <row r="69" spans="1:30">
      <c r="A69" s="20">
        <f t="shared" si="6"/>
        <v>33.5</v>
      </c>
      <c r="B69" s="20">
        <v>39</v>
      </c>
      <c r="C69" s="20">
        <v>2</v>
      </c>
      <c r="D69" s="20">
        <f t="shared" si="4"/>
        <v>41</v>
      </c>
      <c r="E69" s="20">
        <f t="shared" si="5"/>
        <v>0.95121951219512191</v>
      </c>
      <c r="F69" s="30">
        <f t="shared" si="0"/>
        <v>2.6433999765049579E-3</v>
      </c>
      <c r="G69" s="32">
        <f t="shared" si="1"/>
        <v>0.99735660002349502</v>
      </c>
      <c r="H69" s="2">
        <f t="shared" si="7"/>
        <v>-7.9912561747005189</v>
      </c>
      <c r="I69" s="2">
        <f t="shared" si="8"/>
        <v>-11.974607738227281</v>
      </c>
      <c r="R69" s="24"/>
      <c r="S69" s="25"/>
      <c r="T69" s="1"/>
      <c r="U69" s="1"/>
      <c r="V69" s="1"/>
      <c r="W69" s="1"/>
      <c r="X69" s="1"/>
      <c r="Y69" s="1"/>
      <c r="Z69" s="1"/>
      <c r="AA69" s="1"/>
      <c r="AB69" s="1"/>
      <c r="AC69" s="1"/>
      <c r="AD69" s="1"/>
    </row>
    <row r="70" spans="1:30">
      <c r="A70" s="20">
        <f t="shared" si="6"/>
        <v>34.5</v>
      </c>
      <c r="B70" s="20">
        <v>36</v>
      </c>
      <c r="C70" s="20">
        <v>4</v>
      </c>
      <c r="D70" s="20">
        <f t="shared" si="4"/>
        <v>40</v>
      </c>
      <c r="E70" s="20">
        <f t="shared" si="5"/>
        <v>0.9</v>
      </c>
      <c r="F70" s="30">
        <f t="shared" si="0"/>
        <v>2.2079532572198465E-3</v>
      </c>
      <c r="G70" s="32">
        <f t="shared" si="1"/>
        <v>0.9977920467427801</v>
      </c>
      <c r="H70" s="2">
        <f t="shared" si="7"/>
        <v>-13.00331893565793</v>
      </c>
      <c r="I70" s="2">
        <f t="shared" si="8"/>
        <v>-24.542331479792473</v>
      </c>
      <c r="R70" s="24"/>
      <c r="S70" s="25"/>
      <c r="T70" s="1"/>
      <c r="U70" s="1"/>
      <c r="V70" s="1"/>
      <c r="W70" s="1"/>
      <c r="X70" s="1"/>
      <c r="Y70" s="1"/>
      <c r="Z70" s="1"/>
      <c r="AA70" s="1"/>
      <c r="AB70" s="1"/>
      <c r="AC70" s="1"/>
      <c r="AD70" s="1"/>
    </row>
    <row r="71" spans="1:30">
      <c r="A71" s="20">
        <f t="shared" si="6"/>
        <v>35.5</v>
      </c>
      <c r="B71" s="20">
        <v>37</v>
      </c>
      <c r="C71" s="20">
        <v>1</v>
      </c>
      <c r="D71" s="20">
        <f t="shared" si="4"/>
        <v>38</v>
      </c>
      <c r="E71" s="20">
        <f t="shared" si="5"/>
        <v>0.97368421052631582</v>
      </c>
      <c r="F71" s="30">
        <f t="shared" si="0"/>
        <v>1.8442375839442281E-3</v>
      </c>
      <c r="G71" s="32">
        <f t="shared" si="1"/>
        <v>0.99815576241605575</v>
      </c>
      <c r="H71" s="2">
        <f t="shared" si="7"/>
        <v>-4.6243113017663546</v>
      </c>
      <c r="I71" s="2">
        <f t="shared" si="8"/>
        <v>-6.3639891110313718</v>
      </c>
      <c r="R71" s="24"/>
      <c r="S71" s="25"/>
      <c r="T71" s="1"/>
      <c r="U71" s="1"/>
      <c r="V71" s="1"/>
      <c r="W71" s="1"/>
      <c r="X71" s="1"/>
      <c r="Y71" s="1"/>
      <c r="Z71" s="1"/>
      <c r="AA71" s="1"/>
      <c r="AB71" s="1"/>
      <c r="AC71" s="1"/>
      <c r="AD71" s="1"/>
    </row>
    <row r="72" spans="1:30">
      <c r="A72" s="20">
        <f t="shared" si="6"/>
        <v>36.5</v>
      </c>
      <c r="B72" s="20">
        <v>37</v>
      </c>
      <c r="C72" s="20">
        <v>2</v>
      </c>
      <c r="D72" s="20">
        <f t="shared" si="4"/>
        <v>39</v>
      </c>
      <c r="E72" s="20">
        <f t="shared" si="5"/>
        <v>0.94871794871794868</v>
      </c>
      <c r="F72" s="30">
        <f t="shared" si="0"/>
        <v>1.5404367166337095E-3</v>
      </c>
      <c r="G72" s="32">
        <f t="shared" si="1"/>
        <v>0.99845956328336627</v>
      </c>
      <c r="H72" s="2">
        <f t="shared" si="7"/>
        <v>-7.8886470701000162</v>
      </c>
      <c r="I72" s="2">
        <f t="shared" si="8"/>
        <v>-13.00841874419565</v>
      </c>
      <c r="R72" s="24"/>
      <c r="S72" s="25"/>
      <c r="T72" s="1"/>
      <c r="U72" s="1"/>
      <c r="V72" s="1"/>
      <c r="W72" s="1"/>
      <c r="X72" s="1"/>
      <c r="Y72" s="1"/>
      <c r="Z72" s="1"/>
      <c r="AA72" s="1"/>
      <c r="AB72" s="1"/>
      <c r="AC72" s="1"/>
      <c r="AD72" s="1"/>
    </row>
    <row r="73" spans="1:30">
      <c r="A73" s="20">
        <f t="shared" si="6"/>
        <v>37.5</v>
      </c>
      <c r="B73" s="20">
        <v>37</v>
      </c>
      <c r="C73" s="20">
        <v>4</v>
      </c>
      <c r="D73" s="20">
        <f t="shared" si="4"/>
        <v>41</v>
      </c>
      <c r="E73" s="20">
        <f t="shared" si="5"/>
        <v>0.90243902439024393</v>
      </c>
      <c r="F73" s="30">
        <f t="shared" si="0"/>
        <v>1.2866809019683235E-3</v>
      </c>
      <c r="G73" s="32">
        <f t="shared" si="1"/>
        <v>0.99871331909803163</v>
      </c>
      <c r="H73" s="2">
        <f t="shared" si="7"/>
        <v>-13.107314522560754</v>
      </c>
      <c r="I73" s="2">
        <f t="shared" si="8"/>
        <v>-26.670395129418335</v>
      </c>
      <c r="R73" s="24"/>
      <c r="S73" s="25"/>
      <c r="T73" s="1"/>
      <c r="U73" s="1"/>
      <c r="V73" s="1"/>
      <c r="W73" s="1"/>
      <c r="X73" s="1"/>
      <c r="Y73" s="1"/>
      <c r="Z73" s="1"/>
      <c r="AA73" s="1"/>
      <c r="AB73" s="1"/>
      <c r="AC73" s="1"/>
      <c r="AD73" s="1"/>
    </row>
    <row r="74" spans="1:30">
      <c r="A74" s="20">
        <f t="shared" si="6"/>
        <v>38.5</v>
      </c>
      <c r="B74" s="20">
        <v>28</v>
      </c>
      <c r="C74" s="20">
        <v>2</v>
      </c>
      <c r="D74" s="20">
        <f t="shared" si="4"/>
        <v>30</v>
      </c>
      <c r="E74" s="20">
        <f t="shared" si="5"/>
        <v>0.93333333333333335</v>
      </c>
      <c r="F74" s="30">
        <f t="shared" si="0"/>
        <v>1.0747262290059282E-3</v>
      </c>
      <c r="G74" s="32">
        <f t="shared" si="1"/>
        <v>0.99892527377099405</v>
      </c>
      <c r="H74" s="2">
        <f t="shared" si="7"/>
        <v>-7.3479008038390612</v>
      </c>
      <c r="I74" s="2">
        <f t="shared" si="8"/>
        <v>-13.701487157575444</v>
      </c>
      <c r="R74" s="24"/>
      <c r="S74" s="25"/>
      <c r="T74" s="1"/>
      <c r="U74" s="1"/>
      <c r="V74" s="1"/>
      <c r="W74" s="1"/>
      <c r="X74" s="1"/>
      <c r="Y74" s="1"/>
      <c r="Z74" s="1"/>
      <c r="AA74" s="1"/>
      <c r="AB74" s="1"/>
      <c r="AC74" s="1"/>
      <c r="AD74" s="1"/>
    </row>
    <row r="75" spans="1:30">
      <c r="A75" s="20">
        <f t="shared" si="6"/>
        <v>39.5</v>
      </c>
      <c r="B75" s="20">
        <v>26</v>
      </c>
      <c r="C75" s="20">
        <v>1</v>
      </c>
      <c r="D75" s="20">
        <f t="shared" si="4"/>
        <v>27</v>
      </c>
      <c r="E75" s="20">
        <f t="shared" si="5"/>
        <v>0.96296296296296291</v>
      </c>
      <c r="F75" s="30">
        <f t="shared" si="0"/>
        <v>8.9768680451102092E-4</v>
      </c>
      <c r="G75" s="32">
        <f t="shared" si="1"/>
        <v>0.99910231319548903</v>
      </c>
      <c r="H75" s="2">
        <f t="shared" si="7"/>
        <v>-4.2770853935583517</v>
      </c>
      <c r="I75" s="2">
        <f t="shared" si="8"/>
        <v>-7.0390396596605243</v>
      </c>
      <c r="R75" s="24"/>
      <c r="S75" s="25"/>
      <c r="T75" s="1"/>
      <c r="U75" s="1"/>
      <c r="V75" s="1"/>
      <c r="W75" s="1"/>
      <c r="X75" s="1"/>
      <c r="Y75" s="1"/>
      <c r="Z75" s="1"/>
      <c r="AA75" s="1"/>
      <c r="AB75" s="1"/>
      <c r="AC75" s="1"/>
      <c r="AD75" s="1"/>
    </row>
    <row r="76" spans="1:30">
      <c r="A76" s="20">
        <f t="shared" si="6"/>
        <v>40.5</v>
      </c>
      <c r="B76" s="20">
        <v>25</v>
      </c>
      <c r="C76" s="20">
        <v>0</v>
      </c>
      <c r="D76" s="20">
        <f t="shared" si="4"/>
        <v>25</v>
      </c>
      <c r="E76" s="20">
        <f t="shared" si="5"/>
        <v>1</v>
      </c>
      <c r="F76" s="30">
        <f t="shared" si="0"/>
        <v>7.4981104698502922E-4</v>
      </c>
      <c r="G76" s="32">
        <f t="shared" si="1"/>
        <v>0.99925018895301498</v>
      </c>
      <c r="H76" s="2">
        <f t="shared" si="7"/>
        <v>0</v>
      </c>
      <c r="I76" s="2">
        <f t="shared" si="8"/>
        <v>-1.8752307397147915E-2</v>
      </c>
      <c r="R76" s="24"/>
      <c r="S76" s="25"/>
      <c r="T76" s="1"/>
      <c r="U76" s="1"/>
      <c r="V76" s="1"/>
      <c r="W76" s="1"/>
      <c r="X76" s="1"/>
      <c r="Y76" s="1"/>
      <c r="Z76" s="1"/>
      <c r="AA76" s="1"/>
      <c r="AB76" s="1"/>
      <c r="AC76" s="1"/>
      <c r="AD76" s="1"/>
    </row>
    <row r="77" spans="1:30">
      <c r="A77" s="20">
        <f t="shared" si="6"/>
        <v>41.5</v>
      </c>
      <c r="B77" s="20">
        <v>21</v>
      </c>
      <c r="C77" s="20">
        <v>1</v>
      </c>
      <c r="D77" s="20">
        <f t="shared" si="4"/>
        <v>22</v>
      </c>
      <c r="E77" s="20">
        <f t="shared" si="5"/>
        <v>0.95454545454545459</v>
      </c>
      <c r="F77" s="30">
        <f t="shared" si="0"/>
        <v>6.2629483173369277E-4</v>
      </c>
      <c r="G77" s="32">
        <f t="shared" si="1"/>
        <v>0.99937370516826629</v>
      </c>
      <c r="H77" s="2">
        <f t="shared" si="7"/>
        <v>-4.0679627816910662</v>
      </c>
      <c r="I77" s="2">
        <f t="shared" si="8"/>
        <v>-7.3888456322903471</v>
      </c>
      <c r="R77" s="24"/>
      <c r="S77" s="25"/>
      <c r="T77" s="1"/>
      <c r="U77" s="1"/>
      <c r="V77" s="1"/>
      <c r="W77" s="1"/>
      <c r="X77" s="1"/>
      <c r="Y77" s="1"/>
      <c r="Z77" s="1"/>
      <c r="AA77" s="1"/>
      <c r="AB77" s="1"/>
      <c r="AC77" s="1"/>
      <c r="AD77" s="1"/>
    </row>
    <row r="78" spans="1:30">
      <c r="A78" s="20">
        <f t="shared" si="6"/>
        <v>42.5</v>
      </c>
      <c r="B78" s="20">
        <v>18</v>
      </c>
      <c r="C78" s="20">
        <v>1</v>
      </c>
      <c r="D78" s="20">
        <f t="shared" si="4"/>
        <v>19</v>
      </c>
      <c r="E78" s="20">
        <f t="shared" si="5"/>
        <v>0.94736842105263153</v>
      </c>
      <c r="F78" s="30">
        <f t="shared" si="0"/>
        <v>5.2312541650798873E-4</v>
      </c>
      <c r="G78" s="32">
        <f t="shared" si="1"/>
        <v>0.99947687458349199</v>
      </c>
      <c r="H78" s="2">
        <f t="shared" si="7"/>
        <v>-3.9176489620314041</v>
      </c>
      <c r="I78" s="2">
        <f t="shared" si="8"/>
        <v>-7.5651080418269672</v>
      </c>
      <c r="R78" s="24"/>
      <c r="S78" s="25"/>
      <c r="T78" s="1"/>
      <c r="U78" s="1"/>
      <c r="V78" s="1"/>
      <c r="W78" s="1"/>
      <c r="X78" s="1"/>
      <c r="Y78" s="1"/>
      <c r="Z78" s="1"/>
      <c r="AA78" s="1"/>
      <c r="AB78" s="1"/>
      <c r="AC78" s="1"/>
      <c r="AD78" s="1"/>
    </row>
    <row r="79" spans="1:30">
      <c r="A79" s="20">
        <f t="shared" si="6"/>
        <v>43.5</v>
      </c>
      <c r="B79" s="20">
        <v>18</v>
      </c>
      <c r="C79" s="20">
        <v>0</v>
      </c>
      <c r="D79" s="20">
        <f t="shared" si="4"/>
        <v>18</v>
      </c>
      <c r="E79" s="20">
        <f t="shared" si="5"/>
        <v>1</v>
      </c>
      <c r="F79" s="30">
        <f t="shared" si="0"/>
        <v>4.3695107724123715E-4</v>
      </c>
      <c r="G79" s="32">
        <f t="shared" si="1"/>
        <v>0.99956304892275871</v>
      </c>
      <c r="H79" s="2">
        <f t="shared" si="7"/>
        <v>0</v>
      </c>
      <c r="I79" s="2">
        <f t="shared" si="8"/>
        <v>-7.8668382272549624E-3</v>
      </c>
      <c r="R79" s="24"/>
      <c r="S79" s="25"/>
      <c r="T79" s="1"/>
      <c r="U79" s="1"/>
      <c r="V79" s="1"/>
      <c r="W79" s="1"/>
      <c r="X79" s="1"/>
      <c r="Y79" s="1"/>
      <c r="Z79" s="1"/>
      <c r="AA79" s="1"/>
      <c r="AB79" s="1"/>
      <c r="AC79" s="1"/>
      <c r="AD79" s="1"/>
    </row>
    <row r="80" spans="1:30">
      <c r="R80" s="24"/>
      <c r="S80" s="25"/>
      <c r="T80" s="1"/>
      <c r="U80" s="1"/>
      <c r="V80" s="1"/>
      <c r="W80" s="1"/>
      <c r="X80" s="1"/>
      <c r="Y80" s="1"/>
      <c r="Z80" s="1"/>
      <c r="AA80" s="1"/>
      <c r="AB80" s="1"/>
      <c r="AC80" s="1"/>
      <c r="AD80" s="1"/>
    </row>
    <row r="81" spans="18:30">
      <c r="R81" s="24"/>
      <c r="S81" s="25"/>
      <c r="T81" s="1"/>
      <c r="U81" s="1"/>
      <c r="V81" s="1"/>
      <c r="W81" s="1"/>
      <c r="X81" s="1"/>
      <c r="Y81" s="1"/>
      <c r="Z81" s="1"/>
      <c r="AA81" s="1"/>
      <c r="AB81" s="1"/>
      <c r="AC81" s="1"/>
      <c r="AD81" s="1"/>
    </row>
    <row r="82" spans="18:30">
      <c r="R82" s="24"/>
      <c r="S82" s="25"/>
      <c r="T82" s="1"/>
      <c r="U82" s="1"/>
      <c r="V82" s="1"/>
      <c r="W82" s="1"/>
      <c r="X82" s="1"/>
      <c r="Y82" s="1"/>
      <c r="Z82" s="1"/>
      <c r="AA82" s="1"/>
      <c r="AB82" s="1"/>
      <c r="AC82" s="1"/>
      <c r="AD82" s="1"/>
    </row>
    <row r="83" spans="18:30">
      <c r="R83" s="24"/>
      <c r="S83" s="25"/>
      <c r="T83" s="1"/>
      <c r="U83" s="1"/>
      <c r="V83" s="1"/>
      <c r="W83" s="1"/>
      <c r="X83" s="1"/>
      <c r="Y83" s="1"/>
      <c r="Z83" s="1"/>
      <c r="AA83" s="1"/>
      <c r="AB83" s="1"/>
      <c r="AC83" s="1"/>
      <c r="AD83" s="1"/>
    </row>
    <row r="84" spans="18:30">
      <c r="R84" s="24"/>
      <c r="S84" s="25"/>
      <c r="T84" s="1"/>
      <c r="U84" s="1"/>
      <c r="V84" s="1"/>
      <c r="W84" s="1"/>
      <c r="X84" s="1"/>
      <c r="Y84" s="1"/>
      <c r="Z84" s="1"/>
      <c r="AA84" s="1"/>
      <c r="AB84" s="1"/>
      <c r="AC84" s="1"/>
      <c r="AD84" s="1"/>
    </row>
    <row r="85" spans="18:30">
      <c r="R85" s="24"/>
      <c r="S85" s="25"/>
      <c r="T85" s="1"/>
      <c r="U85" s="1"/>
      <c r="V85" s="1"/>
      <c r="W85" s="1"/>
      <c r="X85" s="1"/>
      <c r="Y85" s="1"/>
      <c r="Z85" s="1"/>
      <c r="AA85" s="1"/>
      <c r="AB85" s="1"/>
      <c r="AC85" s="1"/>
      <c r="AD85" s="1"/>
    </row>
    <row r="86" spans="18:30">
      <c r="R86" s="24"/>
      <c r="S86" s="25"/>
      <c r="T86" s="1"/>
      <c r="U86" s="1"/>
      <c r="V86" s="1"/>
      <c r="W86" s="1"/>
      <c r="X86" s="1"/>
      <c r="Y86" s="1"/>
      <c r="Z86" s="1"/>
      <c r="AA86" s="1"/>
      <c r="AB86" s="1"/>
      <c r="AC86" s="1"/>
      <c r="AD86" s="1"/>
    </row>
    <row r="87" spans="18:30">
      <c r="R87" s="24"/>
      <c r="S87" s="25"/>
      <c r="T87" s="1"/>
      <c r="U87" s="1"/>
      <c r="V87" s="1"/>
      <c r="W87" s="1"/>
      <c r="X87" s="1"/>
      <c r="Y87" s="1"/>
      <c r="Z87" s="1"/>
      <c r="AA87" s="1"/>
      <c r="AB87" s="1"/>
      <c r="AC87" s="1"/>
      <c r="AD87" s="1"/>
    </row>
    <row r="88" spans="18:30">
      <c r="R88" s="24"/>
      <c r="S88" s="25"/>
      <c r="T88" s="1"/>
      <c r="U88" s="1"/>
      <c r="V88" s="1"/>
      <c r="W88" s="1"/>
      <c r="X88" s="1"/>
      <c r="Y88" s="1"/>
      <c r="Z88" s="1"/>
      <c r="AA88" s="1"/>
      <c r="AB88" s="1"/>
      <c r="AC88" s="1"/>
      <c r="AD88" s="1"/>
    </row>
    <row r="89" spans="18:30">
      <c r="R89" s="24"/>
      <c r="S89" s="25"/>
      <c r="T89" s="1"/>
      <c r="U89" s="1"/>
      <c r="V89" s="1"/>
      <c r="W89" s="1"/>
      <c r="X89" s="1"/>
      <c r="Y89" s="1"/>
      <c r="Z89" s="1"/>
      <c r="AA89" s="1"/>
      <c r="AB89" s="1"/>
      <c r="AC89" s="1"/>
      <c r="AD89" s="1"/>
    </row>
    <row r="90" spans="18:30">
      <c r="R90" s="24"/>
      <c r="S90" s="25"/>
      <c r="T90" s="1"/>
      <c r="U90" s="1"/>
      <c r="V90" s="1"/>
      <c r="W90" s="1"/>
      <c r="X90" s="1"/>
      <c r="Y90" s="1"/>
      <c r="Z90" s="1"/>
      <c r="AA90" s="1"/>
      <c r="AB90" s="1"/>
      <c r="AC90" s="1"/>
      <c r="AD90" s="1"/>
    </row>
    <row r="91" spans="18:30">
      <c r="R91" s="24"/>
      <c r="S91" s="25"/>
      <c r="T91" s="1"/>
      <c r="U91" s="1"/>
      <c r="V91" s="1"/>
      <c r="W91" s="1"/>
      <c r="X91" s="1"/>
      <c r="Y91" s="1"/>
      <c r="Z91" s="1"/>
      <c r="AA91" s="1"/>
      <c r="AB91" s="1"/>
      <c r="AC91" s="1"/>
      <c r="AD91" s="1"/>
    </row>
    <row r="92" spans="18:30">
      <c r="R92" s="24"/>
      <c r="S92" s="25"/>
      <c r="T92" s="1"/>
      <c r="U92" s="1"/>
      <c r="V92" s="1"/>
      <c r="W92" s="1"/>
      <c r="X92" s="1"/>
      <c r="Y92" s="1"/>
      <c r="Z92" s="1"/>
      <c r="AA92" s="1"/>
      <c r="AB92" s="1"/>
      <c r="AC92" s="1"/>
      <c r="AD92" s="1"/>
    </row>
    <row r="93" spans="18:30">
      <c r="R93" s="24"/>
      <c r="S93" s="25"/>
      <c r="T93" s="1"/>
      <c r="U93" s="1"/>
      <c r="V93" s="1"/>
      <c r="W93" s="1"/>
      <c r="X93" s="1"/>
      <c r="Y93" s="1"/>
      <c r="Z93" s="1"/>
      <c r="AA93" s="1"/>
      <c r="AB93" s="1"/>
      <c r="AC93" s="1"/>
      <c r="AD93" s="1"/>
    </row>
    <row r="94" spans="18:30">
      <c r="R94" s="24"/>
      <c r="S94" s="25"/>
      <c r="T94" s="1"/>
      <c r="U94" s="1"/>
      <c r="V94" s="1"/>
      <c r="W94" s="1"/>
      <c r="X94" s="1"/>
      <c r="Y94" s="1"/>
      <c r="Z94" s="1"/>
      <c r="AA94" s="1"/>
      <c r="AB94" s="1"/>
      <c r="AC94" s="1"/>
      <c r="AD94" s="1"/>
    </row>
    <row r="95" spans="18:30">
      <c r="R95" s="24"/>
      <c r="S95" s="25"/>
      <c r="T95" s="1"/>
      <c r="U95" s="1"/>
      <c r="V95" s="1"/>
      <c r="W95" s="1"/>
      <c r="X95" s="1"/>
      <c r="Y95" s="1"/>
      <c r="Z95" s="1"/>
      <c r="AA95" s="1"/>
      <c r="AB95" s="1"/>
      <c r="AC95" s="1"/>
      <c r="AD95" s="1"/>
    </row>
    <row r="96" spans="18:30">
      <c r="R96" s="24"/>
      <c r="S96" s="25"/>
      <c r="T96" s="1"/>
      <c r="U96" s="1"/>
      <c r="V96" s="1"/>
      <c r="W96" s="1"/>
      <c r="X96" s="1"/>
      <c r="Y96" s="1"/>
      <c r="Z96" s="1"/>
      <c r="AA96" s="1"/>
      <c r="AB96" s="1"/>
      <c r="AC96" s="1"/>
      <c r="AD96" s="1"/>
    </row>
    <row r="97" spans="18:30">
      <c r="R97" s="24"/>
      <c r="S97" s="25"/>
      <c r="T97" s="1"/>
      <c r="U97" s="1"/>
      <c r="V97" s="1"/>
      <c r="W97" s="1"/>
      <c r="X97" s="1"/>
      <c r="Y97" s="1"/>
      <c r="Z97" s="1"/>
      <c r="AA97" s="1"/>
      <c r="AB97" s="1"/>
      <c r="AC97" s="1"/>
      <c r="AD97" s="1"/>
    </row>
    <row r="98" spans="18:30">
      <c r="R98" s="24"/>
      <c r="S98" s="25"/>
      <c r="T98" s="1"/>
      <c r="U98" s="1"/>
      <c r="V98" s="1"/>
      <c r="W98" s="1"/>
      <c r="X98" s="1"/>
      <c r="Y98" s="1"/>
      <c r="Z98" s="1"/>
      <c r="AA98" s="1"/>
      <c r="AB98" s="1"/>
      <c r="AC98" s="1"/>
      <c r="AD98" s="1"/>
    </row>
    <row r="99" spans="18:30">
      <c r="R99" s="24"/>
      <c r="S99" s="25"/>
      <c r="T99" s="1"/>
      <c r="U99" s="1"/>
      <c r="V99" s="1"/>
      <c r="W99" s="1"/>
      <c r="X99" s="1"/>
      <c r="Y99" s="1"/>
      <c r="Z99" s="1"/>
      <c r="AA99" s="1"/>
      <c r="AB99" s="1"/>
      <c r="AC99" s="1"/>
      <c r="AD99" s="1"/>
    </row>
    <row r="100" spans="18:30">
      <c r="R100" s="24"/>
      <c r="S100" s="25"/>
      <c r="T100" s="1"/>
      <c r="U100" s="1"/>
      <c r="V100" s="1"/>
      <c r="W100" s="1"/>
      <c r="X100" s="1"/>
      <c r="Y100" s="1"/>
      <c r="Z100" s="1"/>
      <c r="AA100" s="1"/>
      <c r="AB100" s="1"/>
      <c r="AC100" s="1"/>
      <c r="AD100" s="1"/>
    </row>
    <row r="101" spans="18:30">
      <c r="R101" s="24"/>
      <c r="S101" s="25"/>
      <c r="T101" s="1"/>
      <c r="U101" s="1"/>
      <c r="V101" s="1"/>
      <c r="W101" s="1"/>
      <c r="X101" s="1"/>
      <c r="Y101" s="1"/>
      <c r="Z101" s="1"/>
      <c r="AA101" s="1"/>
      <c r="AB101" s="1"/>
      <c r="AC101" s="1"/>
      <c r="AD101" s="1"/>
    </row>
    <row r="102" spans="18:30">
      <c r="R102" s="24"/>
      <c r="S102" s="25"/>
      <c r="T102" s="1"/>
      <c r="U102" s="1"/>
      <c r="V102" s="1"/>
      <c r="W102" s="1"/>
      <c r="X102" s="1"/>
      <c r="Y102" s="1"/>
      <c r="Z102" s="1"/>
      <c r="AA102" s="1"/>
      <c r="AB102" s="1"/>
      <c r="AC102" s="1"/>
      <c r="AD102" s="1"/>
    </row>
    <row r="103" spans="18:30">
      <c r="R103" s="24"/>
      <c r="S103" s="25"/>
      <c r="T103" s="1"/>
      <c r="U103" s="1"/>
      <c r="V103" s="1"/>
      <c r="W103" s="1"/>
      <c r="X103" s="1"/>
      <c r="Y103" s="1"/>
      <c r="Z103" s="1"/>
      <c r="AA103" s="1"/>
      <c r="AB103" s="1"/>
      <c r="AC103" s="1"/>
      <c r="AD103" s="1"/>
    </row>
    <row r="104" spans="18:30">
      <c r="R104" s="24"/>
      <c r="S104" s="25"/>
      <c r="T104" s="1"/>
      <c r="U104" s="1"/>
      <c r="V104" s="1"/>
      <c r="W104" s="1"/>
      <c r="X104" s="1"/>
      <c r="Y104" s="1"/>
      <c r="Z104" s="1"/>
      <c r="AA104" s="1"/>
      <c r="AB104" s="1"/>
      <c r="AC104" s="1"/>
      <c r="AD104" s="1"/>
    </row>
    <row r="105" spans="18:30">
      <c r="R105" s="24"/>
      <c r="S105" s="25"/>
      <c r="T105" s="1"/>
      <c r="U105" s="1"/>
      <c r="V105" s="1"/>
      <c r="W105" s="1"/>
      <c r="X105" s="1"/>
      <c r="Y105" s="1"/>
      <c r="Z105" s="1"/>
      <c r="AA105" s="1"/>
      <c r="AB105" s="1"/>
      <c r="AC105" s="1"/>
      <c r="AD105" s="1"/>
    </row>
    <row r="106" spans="18:30">
      <c r="R106" s="24"/>
      <c r="S106" s="25"/>
      <c r="T106" s="1"/>
      <c r="U106" s="1"/>
      <c r="V106" s="1"/>
      <c r="W106" s="1"/>
      <c r="X106" s="1"/>
      <c r="Y106" s="1"/>
      <c r="Z106" s="1"/>
      <c r="AA106" s="1"/>
      <c r="AB106" s="1"/>
      <c r="AC106" s="1"/>
      <c r="AD106" s="1"/>
    </row>
    <row r="107" spans="18:30">
      <c r="R107" s="24"/>
      <c r="S107" s="25"/>
      <c r="T107" s="1"/>
      <c r="U107" s="1"/>
      <c r="V107" s="1"/>
      <c r="W107" s="1"/>
      <c r="X107" s="1"/>
      <c r="Y107" s="1"/>
      <c r="Z107" s="1"/>
      <c r="AA107" s="1"/>
      <c r="AB107" s="1"/>
      <c r="AC107" s="1"/>
      <c r="AD107" s="1"/>
    </row>
    <row r="108" spans="18:30">
      <c r="R108" s="24"/>
      <c r="S108" s="25"/>
      <c r="T108" s="1"/>
      <c r="U108" s="1"/>
      <c r="V108" s="1"/>
      <c r="W108" s="1"/>
      <c r="X108" s="1"/>
      <c r="Y108" s="1"/>
      <c r="Z108" s="1"/>
      <c r="AA108" s="1"/>
      <c r="AB108" s="1"/>
      <c r="AC108" s="1"/>
      <c r="AD108" s="1"/>
    </row>
    <row r="109" spans="18:30">
      <c r="R109" s="24"/>
      <c r="S109" s="25"/>
      <c r="T109" s="1"/>
      <c r="U109" s="1"/>
      <c r="V109" s="1"/>
      <c r="W109" s="1"/>
      <c r="X109" s="1"/>
      <c r="Y109" s="1"/>
      <c r="Z109" s="1"/>
      <c r="AA109" s="1"/>
      <c r="AB109" s="1"/>
      <c r="AC109" s="1"/>
      <c r="AD109" s="1"/>
    </row>
    <row r="110" spans="18:30">
      <c r="R110" s="24"/>
      <c r="S110" s="25"/>
      <c r="T110" s="1"/>
      <c r="U110" s="1"/>
      <c r="V110" s="1"/>
      <c r="W110" s="1"/>
      <c r="X110" s="1"/>
      <c r="Y110" s="1"/>
      <c r="Z110" s="1"/>
      <c r="AA110" s="1"/>
      <c r="AB110" s="1"/>
      <c r="AC110" s="1"/>
      <c r="AD110" s="1"/>
    </row>
    <row r="111" spans="18:30">
      <c r="R111" s="24"/>
      <c r="S111" s="25"/>
      <c r="T111" s="1"/>
      <c r="U111" s="1"/>
      <c r="V111" s="1"/>
      <c r="W111" s="1"/>
      <c r="X111" s="1"/>
      <c r="Y111" s="1"/>
      <c r="Z111" s="1"/>
      <c r="AA111" s="1"/>
      <c r="AB111" s="1"/>
      <c r="AC111" s="1"/>
      <c r="AD111" s="1"/>
    </row>
    <row r="112" spans="18:30">
      <c r="R112" s="24"/>
      <c r="S112" s="25"/>
      <c r="T112" s="1"/>
      <c r="U112" s="1"/>
      <c r="V112" s="1"/>
      <c r="W112" s="1"/>
      <c r="X112" s="1"/>
      <c r="Y112" s="1"/>
      <c r="Z112" s="1"/>
      <c r="AA112" s="1"/>
      <c r="AB112" s="1"/>
      <c r="AC112" s="1"/>
      <c r="AD112" s="1"/>
    </row>
    <row r="113" spans="18:30">
      <c r="R113" s="24"/>
      <c r="S113" s="25"/>
      <c r="T113" s="1"/>
      <c r="U113" s="1"/>
      <c r="V113" s="1"/>
      <c r="W113" s="1"/>
      <c r="X113" s="1"/>
      <c r="Y113" s="1"/>
      <c r="Z113" s="1"/>
      <c r="AA113" s="1"/>
      <c r="AB113" s="1"/>
      <c r="AC113" s="1"/>
      <c r="AD113" s="1"/>
    </row>
    <row r="114" spans="18:30">
      <c r="R114" s="24"/>
      <c r="S114" s="25"/>
      <c r="T114" s="1"/>
      <c r="U114" s="1"/>
      <c r="V114" s="1"/>
      <c r="W114" s="1"/>
      <c r="X114" s="1"/>
      <c r="Y114" s="1"/>
      <c r="Z114" s="1"/>
      <c r="AA114" s="1"/>
      <c r="AB114" s="1"/>
      <c r="AC114" s="1"/>
      <c r="AD114" s="1"/>
    </row>
    <row r="115" spans="18:30">
      <c r="R115" s="24"/>
      <c r="S115" s="25"/>
      <c r="T115" s="1"/>
      <c r="U115" s="1"/>
      <c r="V115" s="1"/>
      <c r="W115" s="1"/>
      <c r="X115" s="1"/>
      <c r="Y115" s="1"/>
      <c r="Z115" s="1"/>
      <c r="AA115" s="1"/>
      <c r="AB115" s="1"/>
      <c r="AC115" s="1"/>
      <c r="AD115" s="1"/>
    </row>
    <row r="116" spans="18:30">
      <c r="R116" s="24"/>
      <c r="S116" s="25"/>
      <c r="T116" s="1"/>
      <c r="U116" s="1"/>
      <c r="V116" s="1"/>
      <c r="W116" s="1"/>
      <c r="X116" s="1"/>
      <c r="Y116" s="1"/>
      <c r="Z116" s="1"/>
      <c r="AA116" s="1"/>
      <c r="AB116" s="1"/>
      <c r="AC116" s="1"/>
      <c r="AD116" s="1"/>
    </row>
    <row r="117" spans="18:30">
      <c r="R117" s="24"/>
      <c r="S117" s="25"/>
      <c r="T117" s="1"/>
      <c r="U117" s="1"/>
      <c r="V117" s="1"/>
      <c r="W117" s="1"/>
      <c r="X117" s="1"/>
      <c r="Y117" s="1"/>
      <c r="Z117" s="1"/>
      <c r="AA117" s="1"/>
      <c r="AB117" s="1"/>
      <c r="AC117" s="1"/>
      <c r="AD117" s="1"/>
    </row>
    <row r="118" spans="18:30">
      <c r="R118" s="24"/>
      <c r="S118" s="25"/>
      <c r="T118" s="1"/>
      <c r="U118" s="1"/>
      <c r="V118" s="1"/>
      <c r="W118" s="1"/>
      <c r="X118" s="1"/>
      <c r="Y118" s="1"/>
      <c r="Z118" s="1"/>
      <c r="AA118" s="1"/>
      <c r="AB118" s="1"/>
      <c r="AC118" s="1"/>
      <c r="AD118" s="1"/>
    </row>
    <row r="119" spans="18:30">
      <c r="R119" s="24"/>
      <c r="S119" s="25"/>
      <c r="T119" s="1"/>
      <c r="U119" s="1"/>
      <c r="V119" s="1"/>
      <c r="W119" s="1"/>
      <c r="X119" s="1"/>
      <c r="Y119" s="1"/>
      <c r="Z119" s="1"/>
      <c r="AA119" s="1"/>
      <c r="AB119" s="1"/>
      <c r="AC119" s="1"/>
      <c r="AD119" s="1"/>
    </row>
    <row r="120" spans="18:30">
      <c r="R120" s="24"/>
      <c r="S120" s="25"/>
      <c r="T120" s="1"/>
      <c r="U120" s="1"/>
      <c r="V120" s="1"/>
      <c r="W120" s="1"/>
      <c r="X120" s="1"/>
      <c r="Y120" s="1"/>
      <c r="Z120" s="1"/>
      <c r="AA120" s="1"/>
      <c r="AB120" s="1"/>
      <c r="AC120" s="1"/>
      <c r="AD120" s="1"/>
    </row>
    <row r="121" spans="18:30">
      <c r="R121" s="24"/>
      <c r="S121" s="25"/>
      <c r="T121" s="1"/>
      <c r="U121" s="1"/>
      <c r="V121" s="1"/>
      <c r="W121" s="1"/>
      <c r="X121" s="1"/>
      <c r="Y121" s="1"/>
      <c r="Z121" s="1"/>
      <c r="AA121" s="1"/>
      <c r="AB121" s="1"/>
      <c r="AC121" s="1"/>
      <c r="AD121" s="1"/>
    </row>
  </sheetData>
  <mergeCells count="7">
    <mergeCell ref="B32:D32"/>
    <mergeCell ref="H31:I31"/>
    <mergeCell ref="H32:I32"/>
    <mergeCell ref="D23:E23"/>
    <mergeCell ref="B31:D31"/>
    <mergeCell ref="F31:G31"/>
    <mergeCell ref="F30:G30"/>
  </mergeCells>
  <phoneticPr fontId="0" type="noConversion"/>
  <pageMargins left="0.75" right="0.75" top="1" bottom="1" header="0.5" footer="0.5"/>
  <pageSetup paperSize="9" orientation="portrait" horizontalDpi="4294967293" verticalDpi="20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5</vt:i4>
      </vt:variant>
    </vt:vector>
  </HeadingPairs>
  <TitlesOfParts>
    <vt:vector size="7" baseType="lpstr">
      <vt:lpstr>fixed durn maternal immunity</vt:lpstr>
      <vt:lpstr>waning maternal immunity</vt:lpstr>
      <vt:lpstr>ave_durn_mat</vt:lpstr>
      <vt:lpstr>durn_mat</vt:lpstr>
      <vt:lpstr>'fixed durn maternal immunity'!foi_pyr_matfix</vt:lpstr>
      <vt:lpstr>foi_pyr_matwane</vt:lpstr>
      <vt:lpstr>mat_loss_rate</vt:lpstr>
    </vt:vector>
  </TitlesOfParts>
  <Company>www.anintroductiontoinfectiousdiseasemodelling.com</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An Introduction to Infectious Disease Modelling</dc:title>
  <dc:subject>Model 5.3, version 0.1</dc:subject>
  <dc:creator>EMILIA VYNNYCKY &amp; RICHARD WHITE</dc:creator>
  <cp:lastModifiedBy>Emilia Vynnycky</cp:lastModifiedBy>
  <cp:lastPrinted>2010-02-14T18:36:40Z</cp:lastPrinted>
  <dcterms:created xsi:type="dcterms:W3CDTF">2001-03-14T12:32:53Z</dcterms:created>
  <dcterms:modified xsi:type="dcterms:W3CDTF">2010-08-31T22:45:41Z</dcterms:modified>
</cp:coreProperties>
</file>